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shashanktg/Documents/"/>
    </mc:Choice>
  </mc:AlternateContent>
  <xr:revisionPtr revIDLastSave="0" documentId="13_ncr:1_{14B3D332-0C1E-A742-8D0B-AE721C3A9499}" xr6:coauthVersionLast="47" xr6:coauthVersionMax="47" xr10:uidLastSave="{00000000-0000-0000-0000-000000000000}"/>
  <bookViews>
    <workbookView xWindow="5860" yWindow="700" windowWidth="23540" windowHeight="17300" activeTab="5" xr2:uid="{343B0E1C-0D87-EB46-AA07-201155C31DF3}"/>
  </bookViews>
  <sheets>
    <sheet name="00_Executive_Summary" sheetId="7" r:id="rId1"/>
    <sheet name="0_Data_Connection" sheetId="2" r:id="rId2"/>
    <sheet name="1_Scenario_Manager" sheetId="3" r:id="rId3"/>
    <sheet name="Scenario Summary" sheetId="4" r:id="rId4"/>
    <sheet name="2_Sensitivity_Analysis" sheetId="5" r:id="rId5"/>
    <sheet name="3_NPV_Comparison" sheetId="6" r:id="rId6"/>
  </sheets>
  <definedNames>
    <definedName name="ExternalData_1" localSheetId="1" hidden="1">'0_Data_Connection'!$A$1:$T$379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4" i="3" l="1"/>
  <c r="F3" i="3"/>
  <c r="B13" i="3"/>
  <c r="D27" i="6"/>
  <c r="E27" i="6" s="1"/>
  <c r="F27" i="6" s="1"/>
  <c r="G27" i="6" s="1"/>
  <c r="H27" i="6" s="1"/>
  <c r="I27" i="6" s="1"/>
  <c r="J27" i="6" s="1"/>
  <c r="K27" i="6" s="1"/>
  <c r="L27" i="6" s="1"/>
  <c r="M27" i="6" s="1"/>
  <c r="N27" i="6" s="1"/>
  <c r="O27" i="6" s="1"/>
  <c r="P27" i="6" s="1"/>
  <c r="Q27" i="6" s="1"/>
  <c r="R27" i="6" s="1"/>
  <c r="S27" i="6" s="1"/>
  <c r="T27" i="6" s="1"/>
  <c r="U27" i="6" s="1"/>
  <c r="V27" i="6" s="1"/>
  <c r="D28" i="6"/>
  <c r="E28" i="6" s="1"/>
  <c r="F28" i="6" s="1"/>
  <c r="G28" i="6" s="1"/>
  <c r="H28" i="6" s="1"/>
  <c r="I28" i="6" s="1"/>
  <c r="J28" i="6" s="1"/>
  <c r="K28" i="6" s="1"/>
  <c r="L28" i="6" s="1"/>
  <c r="M28" i="6" s="1"/>
  <c r="N28" i="6" s="1"/>
  <c r="O28" i="6" s="1"/>
  <c r="P28" i="6" s="1"/>
  <c r="Q28" i="6" s="1"/>
  <c r="R28" i="6" s="1"/>
  <c r="S28" i="6" s="1"/>
  <c r="T28" i="6" s="1"/>
  <c r="U28" i="6" s="1"/>
  <c r="V28" i="6" s="1"/>
  <c r="C28" i="6"/>
  <c r="C27" i="6"/>
  <c r="B28" i="6"/>
  <c r="B27" i="6"/>
  <c r="C11" i="6"/>
  <c r="I16" i="6" s="1"/>
  <c r="D15" i="6"/>
  <c r="E15" i="6"/>
  <c r="B19" i="6" s="1"/>
  <c r="F15" i="6"/>
  <c r="G15" i="6"/>
  <c r="H15" i="6"/>
  <c r="I15" i="6"/>
  <c r="J15" i="6"/>
  <c r="K15" i="6"/>
  <c r="L15" i="6"/>
  <c r="M15" i="6"/>
  <c r="N15" i="6"/>
  <c r="O15" i="6"/>
  <c r="P15" i="6"/>
  <c r="Q15" i="6"/>
  <c r="R15" i="6"/>
  <c r="S15" i="6"/>
  <c r="T15" i="6"/>
  <c r="U15" i="6"/>
  <c r="V15" i="6"/>
  <c r="C15" i="6"/>
  <c r="B16" i="6"/>
  <c r="B15" i="6"/>
  <c r="D18" i="5"/>
  <c r="C18" i="5"/>
  <c r="A9" i="5"/>
  <c r="B10" i="3"/>
  <c r="B11" i="3" s="1"/>
  <c r="B3" i="3"/>
  <c r="G16" i="6" l="1"/>
  <c r="O16" i="6"/>
  <c r="V16" i="6"/>
  <c r="N16" i="6"/>
  <c r="F16" i="6"/>
  <c r="E16" i="6"/>
  <c r="D16" i="6"/>
  <c r="R16" i="6"/>
  <c r="Q16" i="6"/>
  <c r="C16" i="6"/>
  <c r="C19" i="6" s="1"/>
  <c r="P16" i="6"/>
  <c r="H16" i="6"/>
  <c r="U16" i="6"/>
  <c r="M16" i="6"/>
  <c r="T16" i="6"/>
  <c r="L16" i="6"/>
  <c r="S16" i="6"/>
  <c r="K16" i="6"/>
  <c r="J1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C6F54F-0126-CF44-AC0A-359AE719CCDA}" keepAlive="1" name="Query - master_panel_data" description="Connection to the 'master_panel_data' query in the workbook." type="5" refreshedVersion="8" background="1" saveData="1">
    <dbPr connection="Provider=Microsoft.Mashup.OleDb.1;Data Source=$Workbook$;Location=master_panel_data;Extended Properties=&quot;&quot;" command="SELECT * FROM [master_panel_data]"/>
  </connection>
</connections>
</file>

<file path=xl/sharedStrings.xml><?xml version="1.0" encoding="utf-8"?>
<sst xmlns="http://schemas.openxmlformats.org/spreadsheetml/2006/main" count="487" uniqueCount="136">
  <si>
    <t>country_name</t>
  </si>
  <si>
    <t>year</t>
  </si>
  <si>
    <t>co2</t>
  </si>
  <si>
    <t>co2_per_capita</t>
  </si>
  <si>
    <t>coal_co2</t>
  </si>
  <si>
    <t>gas_co2</t>
  </si>
  <si>
    <t>oil_co2</t>
  </si>
  <si>
    <t>gdp</t>
  </si>
  <si>
    <t>renewable_capacity_mw</t>
  </si>
  <si>
    <t>net_imports_gwh</t>
  </si>
  <si>
    <t>elec_price_eur_kwh</t>
  </si>
  <si>
    <t>elec_gen_clean_twh</t>
  </si>
  <si>
    <t>elec_gen_fossil_twh</t>
  </si>
  <si>
    <t>elec_gen_hydro_twh</t>
  </si>
  <si>
    <t>elec_gen_nuclear_twh</t>
  </si>
  <si>
    <t>elec_gen_renewables_twh</t>
  </si>
  <si>
    <t>elec_gen_solar_twh</t>
  </si>
  <si>
    <t>elec_gen_wind_twh</t>
  </si>
  <si>
    <t>elec_gen_total_twh</t>
  </si>
  <si>
    <t>carbon_price_eur_tonne</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</si>
  <si>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</si>
  <si>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</si>
  <si>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</si>
  <si>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</si>
  <si>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</si>
  <si>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</si>
  <si>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</si>
  <si>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</si>
  <si>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</si>
  <si>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</si>
  <si>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</si>
  <si>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</si>
  <si>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</si>
  <si>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</si>
  <si>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</si>
  <si>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</si>
  <si>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</si>
  <si>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</si>
  <si>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</si>
  <si>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</si>
  <si>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</si>
  <si>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</si>
  <si>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</si>
  <si>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</si>
  <si>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</si>
  <si>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</si>
  <si>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</si>
  <si>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POLAND VS. DENMARK: 2022 FOSSIL FUEL EXPOSURE SCENARIO</t>
  </si>
  <si>
    <t>Poland 2010 Baseline Fossil Gen (TWh)</t>
  </si>
  <si>
    <t>2022 Crisis Electricity Price (€/MWh)</t>
  </si>
  <si>
    <t>Poland Actual Fossil Reduction Rate</t>
  </si>
  <si>
    <t>Denmark Target Fossil Reduction Rate</t>
  </si>
  <si>
    <t>ACTIVE SCENARIO REDUCTION RATE:</t>
  </si>
  <si>
    <t>Estimated 2022 Fossil Generation (TWh)</t>
  </si>
  <si>
    <t>Estimated 2022 Fossil Generation (MWh)</t>
  </si>
  <si>
    <t>TOTAL ESTIMATED FOSSIL FUEL COST (€ Billions)</t>
  </si>
  <si>
    <t>$B$8</t>
  </si>
  <si>
    <t>$B$13</t>
  </si>
  <si>
    <t>Base Case (Poland Actual)</t>
  </si>
  <si>
    <t>Alternative Case (Denmark Rate)</t>
  </si>
  <si>
    <t xml:space="preserve">Created by Shashank TG on 6/15/2026
</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</si>
  <si>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</si>
  <si>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</si>
  <si>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</si>
  <si>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</si>
  <si>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</si>
  <si>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</si>
  <si>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</si>
  <si>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RENEWABLE INVESTMENT SENSITIVITY DASHBOARD</t>
  </si>
  <si>
    <t>INPUT CONTROL PANEL</t>
  </si>
  <si>
    <t>Capacity Factor (%)</t>
  </si>
  <si>
    <t>Carbon Price (€/t)</t>
  </si>
  <si>
    <t>BEST CASE PAYBACK</t>
  </si>
  <si>
    <t>WORST CASE PAYBACK</t>
  </si>
  <si>
    <t>PAYBACK HEATMAP (YEARS)</t>
  </si>
  <si>
    <t>MODEL ASSUMPTIONS &amp; METHODOLOGY</t>
  </si>
  <si>
    <r>
      <t>Investment:</t>
    </r>
    <r>
      <rPr>
        <sz val="12"/>
        <color theme="1"/>
        <rFont val="Calibri"/>
        <family val="2"/>
        <scheme val="minor"/>
      </rPr>
      <t xml:space="preserve"> €1bn fixed capital expenditure.</t>
    </r>
  </si>
  <si>
    <r>
      <t>Power Price:</t>
    </r>
    <r>
      <rPr>
        <sz val="12"/>
        <color theme="1"/>
        <rFont val="Calibri"/>
        <family val="2"/>
        <scheme val="minor"/>
      </rPr>
      <t xml:space="preserve"> €100/MWh (long-term market benchmark).</t>
    </r>
  </si>
  <si>
    <r>
      <t>Interpretation:</t>
    </r>
    <r>
      <rPr>
        <sz val="12"/>
        <color theme="1"/>
        <rFont val="Calibri"/>
        <family val="2"/>
        <scheme val="minor"/>
      </rPr>
      <t xml:space="preserve"> Lower values (Green) indicate faster payback, representing a more resilient, lower-risk infrastructure investment.</t>
    </r>
  </si>
  <si>
    <r>
      <t>Carbon Credit:</t>
    </r>
    <r>
      <rPr>
        <sz val="12"/>
        <color theme="1"/>
        <rFont val="Calibri"/>
        <family val="2"/>
        <scheme val="minor"/>
      </rPr>
      <t xml:space="preserve"> 0.5 tonnes CO2 displaced per MWh of clean energy generated (EU Grid Factor).</t>
    </r>
  </si>
  <si>
    <t>Capacity Factor (%) → 
↓ Carbon Price (€/t)</t>
  </si>
  <si>
    <t>20-YEAR ASSET VALUATION: WIND VS. GAS</t>
  </si>
  <si>
    <t>MACRO ASSUMPTIONS</t>
  </si>
  <si>
    <t>Discount Rate (WACC)</t>
  </si>
  <si>
    <t>EU ETS Carbon Price (€/t)</t>
  </si>
  <si>
    <t>PROJECT ECONOMICS</t>
  </si>
  <si>
    <t>Capital Expenditure (CAPEX)</t>
  </si>
  <si>
    <t>Annual Electricity Revenue</t>
  </si>
  <si>
    <t>Annual Fuel Costs</t>
  </si>
  <si>
    <t>Annual Carbon Tax (ETS)</t>
  </si>
  <si>
    <t>Combined Cycle Gas</t>
  </si>
  <si>
    <r>
      <t>Wind Farm</t>
    </r>
    <r>
      <rPr>
        <sz val="12"/>
        <color rgb="FF1F1F1F"/>
        <rFont val="Arial"/>
        <family val="2"/>
      </rPr>
      <t xml:space="preserve"> </t>
    </r>
  </si>
  <si>
    <t>YEAR</t>
  </si>
  <si>
    <t>Wind Net Cash Flow</t>
  </si>
  <si>
    <t>Gas Net Cash Flow</t>
  </si>
  <si>
    <t>TOTAL ASSET NPV</t>
  </si>
  <si>
    <t>Wind Farm</t>
  </si>
  <si>
    <t>Gas Plant</t>
  </si>
  <si>
    <t>Cumulative Wind</t>
  </si>
  <si>
    <t>Cumulative Gas</t>
  </si>
  <si>
    <t>MODEL ASSUMPTIONS &amp; BASELINE PARAMETERS</t>
  </si>
  <si>
    <r>
      <t>Asset Scale:</t>
    </r>
    <r>
      <rPr>
        <sz val="12"/>
        <color theme="1"/>
        <rFont val="Calibri"/>
        <family val="2"/>
        <scheme val="minor"/>
      </rPr>
      <t xml:space="preserve"> Both assets are benchmarked to a 3,000,000 MWh annual generation capacity.</t>
    </r>
  </si>
  <si>
    <r>
      <t>Power Price:</t>
    </r>
    <r>
      <rPr>
        <sz val="12"/>
        <color theme="1"/>
        <rFont val="Calibri"/>
        <family val="2"/>
        <scheme val="minor"/>
      </rPr>
      <t xml:space="preserve"> €100/MWh long-term flat wholesale market proxy.</t>
    </r>
  </si>
  <si>
    <r>
      <t>Gas Fuel Proxy:</t>
    </r>
    <r>
      <rPr>
        <sz val="12"/>
        <color theme="1"/>
        <rFont val="Calibri"/>
        <family val="2"/>
        <scheme val="minor"/>
      </rPr>
      <t xml:space="preserve"> Estimated at €60/MWh generation equivalent.</t>
    </r>
  </si>
  <si>
    <r>
      <t>Carbon Intensity:</t>
    </r>
    <r>
      <rPr>
        <sz val="12"/>
        <color theme="1"/>
        <rFont val="Calibri"/>
        <family val="2"/>
        <scheme val="minor"/>
      </rPr>
      <t xml:space="preserve"> Gas plant emissions estimated at 0.4 tonnes CO2 per MWh.</t>
    </r>
  </si>
  <si>
    <r>
      <t>Methodology:</t>
    </r>
    <r>
      <rPr>
        <sz val="12"/>
        <color theme="1"/>
        <rFont val="Calibri"/>
        <family val="2"/>
        <scheme val="minor"/>
      </rPr>
      <t xml:space="preserve"> Constant cash flows used to establish a baseline Net Present Value before inflation escalators.</t>
    </r>
  </si>
  <si>
    <t>DATA PROVENANCE &amp; ANALYTICAL METHODOLOGY</t>
  </si>
  <si>
    <r>
      <t>Pricing Benchmark:</t>
    </r>
    <r>
      <rPr>
        <sz val="12"/>
        <color theme="1"/>
        <rFont val="Calibri"/>
        <family val="2"/>
        <scheme val="minor"/>
      </rPr>
      <t xml:space="preserve"> Anchored to the 2022 European energy crisis wholesale market peak (€250/MWh) to stress-test maximum financial exposure.</t>
    </r>
  </si>
  <si>
    <t>Poland Actual (15% Reduction)</t>
  </si>
  <si>
    <t>Denmark Target (75% Reduction)</t>
  </si>
  <si>
    <t>*User Guide: Blue text denotes fixed historical data. Yellow cells are interactive inputs.*</t>
  </si>
  <si>
    <r>
      <t>Analytical Framework:</t>
    </r>
    <r>
      <rPr>
        <sz val="12"/>
        <color theme="1"/>
        <rFont val="Calibri"/>
        <family val="2"/>
        <scheme val="minor"/>
      </rPr>
      <t xml:space="preserve"> Computes sovereign counterfactuals, quantifying the avoided fossil fuel liabilities had lagging nations successfully adopted leading renewable integration trajectories.</t>
    </r>
  </si>
  <si>
    <r>
      <t xml:space="preserve">Data Pipeline: </t>
    </r>
    <r>
      <rPr>
        <sz val="12"/>
        <color theme="1"/>
        <rFont val="Calibri"/>
        <family val="2"/>
        <scheme val="minor"/>
      </rPr>
      <t>Master generation statistics extracted and pre-processed via Python (pandas, numpy) utilizing the Ember Electricity Data Explorer, Eurostat SDMX, and Our World in Data.</t>
    </r>
  </si>
  <si>
    <t>EU ETS Financial Impact &amp; Sovereign Risk Model</t>
  </si>
  <si>
    <t>A Comparative Analysis of Asset Lifecycle Valuation and Macroeconomic Fossil Fuel Exposure (2010–2023)</t>
  </si>
  <si>
    <t>PROJECT OBJECTIVE</t>
  </si>
  <si>
    <t>This project quantifies the financial realities of the European Green Transition under the EU Emissions Trading System (ETS) using an end-to-end data architecture. By bridging Python-driven data ingestion and SQL database querying with corporate finance modeling in Excel and business intelligence in Power BI, the model demonstrates how delayed renewable adoption creates catastrophic sovereign financial liabilities. Ultimately, the valuation proves that upfront renewable capital expenditure (CAPEX) vastly outperforms legacy fossil fuel assets over a 20-year horizon.</t>
  </si>
  <si>
    <t>KEY FINANCIAL FINDINGS</t>
  </si>
  <si>
    <r>
      <t>The Sovereign Risk (Cost of Inaction):</t>
    </r>
    <r>
      <rPr>
        <sz val="12"/>
        <color theme="1"/>
        <rFont val="Calibri"/>
        <family val="2"/>
        <scheme val="minor"/>
      </rPr>
      <t xml:space="preserve"> Poland’s historical reliance on fossil generation (15% reduction vs. a 75% benchmark) exposed the economy to an estimated </t>
    </r>
    <r>
      <rPr>
        <b/>
        <sz val="12"/>
        <color theme="1"/>
        <rFont val="Calibri"/>
        <family val="2"/>
        <scheme val="minor"/>
      </rPr>
      <t>€31.03 Billion</t>
    </r>
    <r>
      <rPr>
        <sz val="12"/>
        <color theme="1"/>
        <rFont val="Calibri"/>
        <family val="2"/>
        <scheme val="minor"/>
      </rPr>
      <t xml:space="preserve"> in wholesale electricity costs during the 2022 supply crisis—a massive </t>
    </r>
    <r>
      <rPr>
        <b/>
        <sz val="12"/>
        <color theme="1"/>
        <rFont val="Calibri"/>
        <family val="2"/>
        <scheme val="minor"/>
      </rPr>
      <t>€21.9 Billion penalty</t>
    </r>
    <r>
      <rPr>
        <sz val="12"/>
        <color theme="1"/>
        <rFont val="Calibri"/>
        <family val="2"/>
        <scheme val="minor"/>
      </rPr>
      <t xml:space="preserve"> compared to leading transition trajectories.</t>
    </r>
  </si>
  <si>
    <r>
      <t>The Asset Valuation (Wind vs. CCGT):</t>
    </r>
    <r>
      <rPr>
        <sz val="12"/>
        <color theme="1"/>
        <rFont val="Calibri"/>
        <family val="2"/>
        <scheme val="minor"/>
      </rPr>
      <t xml:space="preserve"> Over a 20-year Discounted Cash Flow (DCF) lifecycle at an €80/t carbon price, a €1B Wind Farm generates a positive Net Present Value of </t>
    </r>
    <r>
      <rPr>
        <b/>
        <sz val="12"/>
        <color theme="1"/>
        <rFont val="Calibri"/>
        <family val="2"/>
        <scheme val="minor"/>
      </rPr>
      <t>€1.94 Billion</t>
    </r>
    <r>
      <rPr>
        <sz val="12"/>
        <color theme="1"/>
        <rFont val="Calibri"/>
        <family val="2"/>
        <scheme val="minor"/>
      </rPr>
      <t xml:space="preserve">. Conversely, an equivalent Gas Plant destroys </t>
    </r>
    <r>
      <rPr>
        <b/>
        <sz val="12"/>
        <color theme="1"/>
        <rFont val="Calibri"/>
        <family val="2"/>
        <scheme val="minor"/>
      </rPr>
      <t>€164 Million</t>
    </r>
    <r>
      <rPr>
        <sz val="12"/>
        <color theme="1"/>
        <rFont val="Calibri"/>
        <family val="2"/>
        <scheme val="minor"/>
      </rPr>
      <t xml:space="preserve"> in value due to systemic fuel and regulatory carbon tax liabilities.</t>
    </r>
  </si>
  <si>
    <r>
      <t>Payback Resilience:</t>
    </r>
    <r>
      <rPr>
        <sz val="12"/>
        <color theme="1"/>
        <rFont val="Calibri"/>
        <family val="2"/>
        <scheme val="minor"/>
      </rPr>
      <t xml:space="preserve"> Sensitivity stress-testing proves that even under highly conservative market conditions (low capacity factors), renewable infrastructure maintains a rapid capital payback period of under 5 years, entirely insulating the asset from future ETS carbon price shocks.</t>
    </r>
  </si>
  <si>
    <t>MODEL ARCHITECTURE &amp; NAVIGATION</t>
  </si>
  <si>
    <t>Technical Architecture:</t>
  </si>
  <si>
    <r>
      <t>Data Ingestion:</t>
    </r>
    <r>
      <rPr>
        <sz val="12"/>
        <color theme="1"/>
        <rFont val="Calibri"/>
        <family val="2"/>
        <scheme val="minor"/>
      </rPr>
      <t xml:space="preserve"> Python (</t>
    </r>
    <r>
      <rPr>
        <sz val="10"/>
        <color theme="1"/>
        <rFont val="Arial Unicode MS"/>
        <family val="2"/>
      </rPr>
      <t>pandas</t>
    </r>
    <r>
      <rPr>
        <sz val="12"/>
        <color theme="1"/>
        <rFont val="Calibri"/>
        <family val="2"/>
        <scheme val="minor"/>
      </rPr>
      <t xml:space="preserve">, </t>
    </r>
    <r>
      <rPr>
        <sz val="10"/>
        <color theme="1"/>
        <rFont val="Arial Unicode MS"/>
        <family val="2"/>
      </rPr>
      <t>requests</t>
    </r>
    <r>
      <rPr>
        <sz val="12"/>
        <color theme="1"/>
        <rFont val="Calibri"/>
        <family val="2"/>
        <scheme val="minor"/>
      </rPr>
      <t>) pulling from Ember, Eurostat, and Our World in Data.</t>
    </r>
  </si>
  <si>
    <r>
      <t>Data Processing:</t>
    </r>
    <r>
      <rPr>
        <sz val="12"/>
        <color theme="1"/>
        <rFont val="Calibri"/>
        <family val="2"/>
        <scheme val="minor"/>
      </rPr>
      <t xml:space="preserve"> SQL (15 aggregated queries for panel normalization and filtering).</t>
    </r>
  </si>
  <si>
    <r>
      <t>Financial Modeling:</t>
    </r>
    <r>
      <rPr>
        <sz val="12"/>
        <color theme="1"/>
        <rFont val="Calibri"/>
        <family val="2"/>
        <scheme val="minor"/>
      </rPr>
      <t xml:space="preserve"> Excel (Dynamic Arrays, Sensitivity Data Tables, Discounted Cash Flow &amp; Net Present Value Logic).</t>
    </r>
  </si>
  <si>
    <r>
      <t>Business Intelligence:</t>
    </r>
    <r>
      <rPr>
        <sz val="12"/>
        <color theme="1"/>
        <rFont val="Calibri"/>
        <family val="2"/>
        <scheme val="minor"/>
      </rPr>
      <t xml:space="preserve"> Power BI (Interactive visualizations and executive dashboarding).</t>
    </r>
  </si>
  <si>
    <t>(Click any sheet name below to navigate directly to the model)</t>
  </si>
  <si>
    <t>▶[Sheet 0] 0_Data_Connection</t>
  </si>
  <si>
    <t>▶[Sheet 1] 1_Scenario_Manager</t>
  </si>
  <si>
    <t>▶[Sheet 2] 2_Sensitivity_Analysis</t>
  </si>
  <si>
    <t>▶[Sheet 3] 3_NPV_Comparison</t>
  </si>
  <si>
    <t>Serves as the foundational database for the model. Contains the pre-processed, country-year panel dataset (2010–2023) aggregating EU27 generation mixes, Eurostat macro indicators, and verified EU ETS historical carbon prices extracted via the Python data pipeline.</t>
  </si>
  <si>
    <t>An interactive diagnostic tool isolating the 2022 European energy crisis. It executes a counterfactual analysis, allowing users to manipulate sovereign transition rates to quantify the exact macroeconomic financial penalty (in billions of Euros) incurred by lagging fossil fuel reduction policies.</t>
  </si>
  <si>
    <t>A dynamic risk-assessment engine mapping infrastructure resilience. It utilizes two-variable data tables to generate a heatmap that stress-tests the capital payback period of renewable assets across a matrix of fluctuating carbon prices and asset capacity factors.</t>
  </si>
  <si>
    <t>The core valuation engine. It executes a 20-year Discounted Cash Flow (DCF) analysis comparing a €1B Wind Farm against an equivalent Gas Plant to calculate the Net Present Value (NPV). It visualizes cumulative cash flows, break-even thresholds, and the destructive impact of ongoing ETS carbon liabilities on legacy fossil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</si>
</sst>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5" formatCode="0.0"/>
    <numFmt numFmtId="176" formatCode="[$€-2]\ #,##0"/>
    <numFmt numFmtId="179" formatCode="\€\ #,##0.00,,\ &quot;M&quot;"/>
    <numFmt numFmtId="183" formatCode="_(* #,##0_);_(* \(#,##0\);_(* &quot;-&quot;??_);_(@_)"/>
    <numFmt numFmtId="184" formatCode="\€\ #,##0.00\ &quot;B&quot;"/>
  </numFmts>
  <fonts count="30">
    <font>
      <sz val="12"/>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b/>
      <sz val="12"/>
      <color theme="4"/>
      <name val="Calibri"/>
      <family val="2"/>
      <scheme val="minor"/>
    </font>
    <font>
      <sz val="12"/>
      <color theme="4"/>
      <name val="Calibri"/>
      <family val="2"/>
      <scheme val="minor"/>
    </font>
    <font>
      <b/>
      <sz val="14"/>
      <color indexed="9"/>
      <name val="Calibri"/>
      <family val="2"/>
      <scheme val="minor"/>
    </font>
    <font>
      <b/>
      <sz val="12"/>
      <color indexed="8"/>
      <name val="Calibri"/>
      <family val="2"/>
      <scheme val="minor"/>
    </font>
    <font>
      <b/>
      <sz val="12"/>
      <color indexed="18"/>
      <name val="Calibri"/>
      <family val="2"/>
      <scheme val="minor"/>
    </font>
    <font>
      <sz val="11"/>
      <color indexed="9"/>
      <name val="Calibri"/>
      <family val="2"/>
      <scheme val="minor"/>
    </font>
    <font>
      <sz val="8"/>
      <color theme="1"/>
      <name val="Calibri"/>
      <family val="2"/>
      <scheme val="minor"/>
    </font>
    <font>
      <b/>
      <sz val="14"/>
      <color theme="1"/>
      <name val="Calibri"/>
      <family val="2"/>
      <scheme val="minor"/>
    </font>
    <font>
      <b/>
      <u/>
      <sz val="12"/>
      <color theme="1"/>
      <name val="Calibri"/>
      <family val="2"/>
      <scheme val="minor"/>
    </font>
    <font>
      <sz val="10"/>
      <color theme="1"/>
      <name val="Arial Unicode MS"/>
      <family val="2"/>
    </font>
    <font>
      <b/>
      <sz val="16"/>
      <color theme="4" tint="-0.249977111117893"/>
      <name val="Calibri"/>
      <family val="2"/>
      <scheme val="minor"/>
    </font>
    <font>
      <sz val="10"/>
      <color theme="0"/>
      <name val="Arial Unicode MS"/>
      <family val="2"/>
    </font>
    <font>
      <b/>
      <sz val="16"/>
      <color theme="8" tint="-0.499984740745262"/>
      <name val="Calibri"/>
      <family val="2"/>
      <scheme val="minor"/>
    </font>
    <font>
      <sz val="12"/>
      <color rgb="FF1F1F1F"/>
      <name val="Arial"/>
      <family val="2"/>
    </font>
    <font>
      <b/>
      <sz val="12"/>
      <color rgb="FF1F1F1F"/>
      <name val="Arial"/>
      <family val="2"/>
    </font>
    <font>
      <sz val="15"/>
      <color rgb="FF1F1F1F"/>
      <name val="Google Sans Text"/>
      <family val="2"/>
    </font>
    <font>
      <b/>
      <sz val="12"/>
      <color rgb="FF1F1F1F"/>
      <name val="Calibri Light"/>
      <family val="2"/>
      <scheme val="major"/>
    </font>
    <font>
      <b/>
      <sz val="15"/>
      <color theme="0"/>
      <name val="Google Sans Text"/>
    </font>
    <font>
      <i/>
      <sz val="10"/>
      <color theme="1"/>
      <name val="Calibri"/>
      <family val="2"/>
      <scheme val="minor"/>
    </font>
    <font>
      <b/>
      <sz val="20"/>
      <color theme="0"/>
      <name val="Calibri"/>
      <family val="2"/>
      <scheme val="minor"/>
    </font>
    <font>
      <i/>
      <sz val="12"/>
      <color theme="0"/>
      <name val="Calibri"/>
      <family val="2"/>
      <scheme val="minor"/>
    </font>
    <font>
      <b/>
      <u/>
      <sz val="14"/>
      <color theme="8" tint="-0.499984740745262"/>
      <name val="Calibri"/>
      <family val="2"/>
      <scheme val="minor"/>
    </font>
    <font>
      <u/>
      <sz val="12"/>
      <color theme="10"/>
      <name val="Calibri"/>
      <family val="2"/>
      <scheme val="minor"/>
    </font>
    <font>
      <sz val="12"/>
      <color theme="8" tint="-0.499984740745262"/>
      <name val="Calibri"/>
      <family val="2"/>
      <scheme val="minor"/>
    </font>
    <font>
      <sz val="12"/>
      <color theme="0" tint="-0.499984740745262"/>
      <name val="Calibri"/>
      <family val="2"/>
      <scheme val="minor"/>
    </font>
  </fonts>
  <fills count="17">
    <fill>
      <patternFill patternType="none"/>
    </fill>
    <fill>
      <patternFill patternType="gray125"/>
    </fill>
    <fill>
      <patternFill patternType="solid">
        <fgColor theme="7"/>
        <bgColor indexed="64"/>
      </patternFill>
    </fill>
    <fill>
      <patternFill patternType="solid">
        <fgColor theme="7"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bgColor indexed="64"/>
      </patternFill>
    </fill>
  </fills>
  <borders count="22">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3">
    <xf numFmtId="0" fontId="0" fillId="0" borderId="0"/>
    <xf numFmtId="43" fontId="1" fillId="0" borderId="0" applyFont="0" applyFill="0" applyBorder="0" applyAlignment="0" applyProtection="0"/>
    <xf numFmtId="0" fontId="27" fillId="0" borderId="0" applyNumberFormat="0" applyFill="0" applyBorder="0" applyAlignment="0" applyProtection="0"/>
  </cellStyleXfs>
  <cellXfs count="101">
    <xf numFmtId="0" fontId="0" fillId="0" borderId="0" xfId="0"/>
    <xf numFmtId="0" fontId="0" fillId="0" borderId="0" xfId="0" applyNumberFormat="1"/>
    <xf numFmtId="2" fontId="0" fillId="0" borderId="0" xfId="0" applyNumberFormat="1"/>
    <xf numFmtId="1" fontId="0" fillId="0" borderId="0" xfId="0" applyNumberFormat="1"/>
    <xf numFmtId="0" fontId="0" fillId="0" borderId="0" xfId="0" applyAlignment="1">
      <alignment wrapText="1"/>
    </xf>
    <xf numFmtId="0" fontId="3" fillId="0" borderId="0" xfId="0" applyFont="1" applyAlignment="1">
      <alignment wrapText="1"/>
    </xf>
    <xf numFmtId="0" fontId="3" fillId="0" borderId="0" xfId="0" applyFont="1"/>
    <xf numFmtId="0" fontId="5" fillId="0" borderId="0" xfId="0" applyFont="1"/>
    <xf numFmtId="9" fontId="5" fillId="0" borderId="0" xfId="0" applyNumberFormat="1" applyFont="1"/>
    <xf numFmtId="0" fontId="0" fillId="0" borderId="0" xfId="0" applyAlignment="1">
      <alignment vertical="top" wrapText="1"/>
    </xf>
    <xf numFmtId="0" fontId="0" fillId="0" borderId="0" xfId="0" applyFill="1" applyBorder="1" applyAlignment="1"/>
    <xf numFmtId="0" fontId="0" fillId="0" borderId="2" xfId="0" applyFill="1" applyBorder="1" applyAlignment="1"/>
    <xf numFmtId="0" fontId="7" fillId="4" borderId="3" xfId="0" applyFont="1" applyFill="1" applyBorder="1" applyAlignment="1">
      <alignment horizontal="left"/>
    </xf>
    <xf numFmtId="0" fontId="7" fillId="4" borderId="1" xfId="0" applyFont="1" applyFill="1" applyBorder="1" applyAlignment="1">
      <alignment horizontal="left"/>
    </xf>
    <xf numFmtId="0" fontId="0" fillId="0" borderId="4" xfId="0" applyFill="1" applyBorder="1" applyAlignment="1"/>
    <xf numFmtId="0" fontId="8" fillId="5" borderId="0" xfId="0" applyFont="1" applyFill="1" applyBorder="1" applyAlignment="1">
      <alignment horizontal="left"/>
    </xf>
    <xf numFmtId="0" fontId="9" fillId="5" borderId="4" xfId="0" applyFont="1" applyFill="1" applyBorder="1" applyAlignment="1">
      <alignment horizontal="left"/>
    </xf>
    <xf numFmtId="0" fontId="8" fillId="5" borderId="2" xfId="0" applyFont="1" applyFill="1" applyBorder="1" applyAlignment="1">
      <alignment horizontal="left"/>
    </xf>
    <xf numFmtId="0" fontId="10" fillId="4" borderId="1" xfId="0" applyFont="1" applyFill="1" applyBorder="1" applyAlignment="1">
      <alignment horizontal="right"/>
    </xf>
    <xf numFmtId="0" fontId="10" fillId="4" borderId="3" xfId="0" applyFont="1" applyFill="1" applyBorder="1" applyAlignment="1">
      <alignment horizontal="right"/>
    </xf>
    <xf numFmtId="0" fontId="0" fillId="6" borderId="0" xfId="0" applyFill="1" applyBorder="1" applyAlignment="1"/>
    <xf numFmtId="0" fontId="11" fillId="0" borderId="0" xfId="0" applyFont="1" applyFill="1" applyBorder="1" applyAlignment="1">
      <alignment vertical="top" wrapText="1"/>
    </xf>
    <xf numFmtId="0" fontId="12" fillId="0" borderId="0" xfId="0" applyFont="1"/>
    <xf numFmtId="0" fontId="13" fillId="0" borderId="0" xfId="0" applyFont="1"/>
    <xf numFmtId="0" fontId="15" fillId="0" borderId="0" xfId="0" applyFont="1"/>
    <xf numFmtId="0" fontId="6" fillId="7" borderId="0" xfId="0" applyFont="1" applyFill="1"/>
    <xf numFmtId="0" fontId="0" fillId="7" borderId="0" xfId="0" applyFill="1"/>
    <xf numFmtId="0" fontId="2" fillId="8" borderId="0" xfId="0" applyFont="1" applyFill="1"/>
    <xf numFmtId="0" fontId="4" fillId="8" borderId="0" xfId="0" applyFont="1" applyFill="1"/>
    <xf numFmtId="165" fontId="4" fillId="8" borderId="0" xfId="0" applyNumberFormat="1" applyFont="1" applyFill="1"/>
    <xf numFmtId="0" fontId="16" fillId="0" borderId="0" xfId="0" applyFont="1"/>
    <xf numFmtId="0" fontId="12" fillId="3" borderId="5" xfId="0" applyFont="1" applyFill="1" applyBorder="1"/>
    <xf numFmtId="0" fontId="3" fillId="3" borderId="6" xfId="0" applyFont="1" applyFill="1" applyBorder="1"/>
    <xf numFmtId="0" fontId="3" fillId="3" borderId="6" xfId="0" applyFont="1" applyFill="1" applyBorder="1" applyAlignment="1">
      <alignment wrapText="1"/>
    </xf>
    <xf numFmtId="0" fontId="3" fillId="3" borderId="7" xfId="0" applyFont="1" applyFill="1" applyBorder="1" applyAlignment="1">
      <alignment wrapText="1"/>
    </xf>
    <xf numFmtId="0" fontId="17" fillId="0" borderId="0" xfId="0" applyFont="1"/>
    <xf numFmtId="0" fontId="19" fillId="0" borderId="0" xfId="0" applyFont="1"/>
    <xf numFmtId="0" fontId="18" fillId="0" borderId="0" xfId="0" applyFont="1"/>
    <xf numFmtId="0" fontId="20" fillId="0" borderId="0" xfId="0" applyFont="1"/>
    <xf numFmtId="165" fontId="0" fillId="0" borderId="9" xfId="0" applyNumberFormat="1" applyBorder="1"/>
    <xf numFmtId="165" fontId="0" fillId="0" borderId="10" xfId="0" applyNumberFormat="1" applyBorder="1"/>
    <xf numFmtId="165" fontId="0" fillId="0" borderId="11" xfId="0" applyNumberFormat="1" applyBorder="1"/>
    <xf numFmtId="165" fontId="0" fillId="0" borderId="12" xfId="0" applyNumberFormat="1" applyBorder="1"/>
    <xf numFmtId="165" fontId="0" fillId="0" borderId="0" xfId="0" applyNumberFormat="1" applyBorder="1"/>
    <xf numFmtId="165" fontId="0" fillId="0" borderId="13" xfId="0" applyNumberFormat="1" applyBorder="1"/>
    <xf numFmtId="165" fontId="0" fillId="0" borderId="14" xfId="0" applyNumberFormat="1" applyBorder="1"/>
    <xf numFmtId="165" fontId="0" fillId="0" borderId="8" xfId="0" applyNumberFormat="1" applyBorder="1"/>
    <xf numFmtId="165" fontId="0" fillId="0" borderId="15" xfId="0" applyNumberFormat="1" applyBorder="1"/>
    <xf numFmtId="9" fontId="3" fillId="10" borderId="16" xfId="0" applyNumberFormat="1" applyFont="1" applyFill="1" applyBorder="1"/>
    <xf numFmtId="9" fontId="3" fillId="10" borderId="17" xfId="0" applyNumberFormat="1" applyFont="1" applyFill="1" applyBorder="1"/>
    <xf numFmtId="9" fontId="3" fillId="10" borderId="18" xfId="0" applyNumberFormat="1" applyFont="1" applyFill="1" applyBorder="1"/>
    <xf numFmtId="176" fontId="3" fillId="10" borderId="19" xfId="0" applyNumberFormat="1" applyFont="1" applyFill="1" applyBorder="1"/>
    <xf numFmtId="176" fontId="3" fillId="10" borderId="20" xfId="0" applyNumberFormat="1" applyFont="1" applyFill="1" applyBorder="1"/>
    <xf numFmtId="176" fontId="3" fillId="10" borderId="21" xfId="0" applyNumberFormat="1" applyFont="1" applyFill="1" applyBorder="1"/>
    <xf numFmtId="0" fontId="21" fillId="0" borderId="0" xfId="0" applyFont="1"/>
    <xf numFmtId="179" fontId="20" fillId="0" borderId="0" xfId="0" applyNumberFormat="1" applyFont="1"/>
    <xf numFmtId="179" fontId="0" fillId="0" borderId="0" xfId="0" applyNumberFormat="1"/>
    <xf numFmtId="179" fontId="12" fillId="0" borderId="0" xfId="0" applyNumberFormat="1" applyFont="1"/>
    <xf numFmtId="9" fontId="6" fillId="12" borderId="0" xfId="0" applyNumberFormat="1" applyFont="1" applyFill="1"/>
    <xf numFmtId="0" fontId="6" fillId="12" borderId="0" xfId="0" applyFont="1" applyFill="1"/>
    <xf numFmtId="179" fontId="2" fillId="13" borderId="0" xfId="0" applyNumberFormat="1" applyFont="1" applyFill="1"/>
    <xf numFmtId="179" fontId="2" fillId="14" borderId="0" xfId="0" applyNumberFormat="1" applyFont="1" applyFill="1"/>
    <xf numFmtId="0" fontId="22" fillId="8" borderId="0" xfId="0" applyFont="1" applyFill="1"/>
    <xf numFmtId="0" fontId="3" fillId="3" borderId="9" xfId="0" applyFont="1" applyFill="1" applyBorder="1"/>
    <xf numFmtId="0" fontId="0" fillId="3" borderId="10" xfId="0" applyFill="1" applyBorder="1"/>
    <xf numFmtId="0" fontId="0" fillId="3" borderId="11" xfId="0" applyFill="1" applyBorder="1"/>
    <xf numFmtId="0" fontId="0" fillId="3" borderId="12" xfId="0" applyFill="1" applyBorder="1"/>
    <xf numFmtId="0" fontId="0" fillId="3" borderId="0" xfId="0" applyFill="1" applyBorder="1"/>
    <xf numFmtId="0" fontId="0" fillId="3" borderId="13" xfId="0" applyFill="1" applyBorder="1"/>
    <xf numFmtId="0" fontId="3" fillId="3" borderId="12" xfId="0" applyFont="1" applyFill="1" applyBorder="1"/>
    <xf numFmtId="0" fontId="3" fillId="3" borderId="14" xfId="0" applyFont="1" applyFill="1" applyBorder="1"/>
    <xf numFmtId="0" fontId="0" fillId="3" borderId="8" xfId="0" applyFill="1" applyBorder="1"/>
    <xf numFmtId="0" fontId="0" fillId="3" borderId="15" xfId="0" applyFill="1" applyBorder="1"/>
    <xf numFmtId="0" fontId="0" fillId="8" borderId="0" xfId="0" applyFill="1"/>
    <xf numFmtId="9" fontId="3" fillId="2" borderId="0" xfId="0" applyNumberFormat="1" applyFont="1" applyFill="1"/>
    <xf numFmtId="0" fontId="3" fillId="15" borderId="0" xfId="0" applyFont="1" applyFill="1"/>
    <xf numFmtId="183" fontId="0" fillId="0" borderId="0" xfId="1" applyNumberFormat="1" applyFont="1"/>
    <xf numFmtId="184" fontId="3" fillId="15" borderId="0" xfId="0" applyNumberFormat="1" applyFont="1" applyFill="1"/>
    <xf numFmtId="0" fontId="0" fillId="11" borderId="9" xfId="0" applyFill="1" applyBorder="1"/>
    <xf numFmtId="184" fontId="0" fillId="11" borderId="11" xfId="0" applyNumberFormat="1" applyFill="1" applyBorder="1"/>
    <xf numFmtId="184" fontId="0" fillId="13" borderId="15" xfId="0" applyNumberFormat="1" applyFill="1" applyBorder="1"/>
    <xf numFmtId="0" fontId="0" fillId="13" borderId="14" xfId="0" applyFill="1" applyBorder="1"/>
    <xf numFmtId="0" fontId="3" fillId="3" borderId="19" xfId="0" applyFont="1" applyFill="1" applyBorder="1"/>
    <xf numFmtId="0" fontId="0" fillId="3" borderId="20" xfId="0" applyFill="1" applyBorder="1"/>
    <xf numFmtId="0" fontId="3" fillId="3" borderId="20" xfId="0" applyFont="1" applyFill="1" applyBorder="1" applyAlignment="1">
      <alignment wrapText="1"/>
    </xf>
    <xf numFmtId="0" fontId="3" fillId="3" borderId="21" xfId="0" applyFont="1" applyFill="1" applyBorder="1" applyAlignment="1">
      <alignment wrapText="1"/>
    </xf>
    <xf numFmtId="0" fontId="23" fillId="9" borderId="0" xfId="0" applyFont="1" applyFill="1"/>
    <xf numFmtId="0" fontId="24" fillId="8" borderId="0" xfId="0" applyFont="1" applyFill="1"/>
    <xf numFmtId="0" fontId="25" fillId="8" borderId="0" xfId="0" applyFont="1" applyFill="1"/>
    <xf numFmtId="0" fontId="26" fillId="16" borderId="0" xfId="0" applyFont="1" applyFill="1"/>
    <xf numFmtId="0" fontId="26" fillId="0" borderId="0" xfId="0" applyFont="1"/>
    <xf numFmtId="0" fontId="26" fillId="11" borderId="0" xfId="0" applyFont="1" applyFill="1"/>
    <xf numFmtId="0" fontId="3" fillId="0" borderId="0" xfId="0" applyFont="1" applyAlignment="1">
      <alignment horizontal="left" wrapText="1" indent="1"/>
    </xf>
    <xf numFmtId="0" fontId="0" fillId="0" borderId="0" xfId="0" applyAlignment="1">
      <alignment horizontal="left" wrapText="1" indent="1"/>
    </xf>
    <xf numFmtId="0" fontId="3" fillId="11" borderId="0" xfId="0" applyFont="1" applyFill="1" applyAlignment="1">
      <alignment horizontal="left" indent="1"/>
    </xf>
    <xf numFmtId="0" fontId="29" fillId="0" borderId="0" xfId="0" applyFont="1"/>
    <xf numFmtId="0" fontId="28" fillId="0" borderId="0" xfId="2" applyFont="1" applyAlignment="1">
      <alignment horizontal="left" vertical="center" indent="1"/>
    </xf>
    <xf numFmtId="0" fontId="0" fillId="0" borderId="0" xfId="0" applyAlignment="1">
      <alignment vertical="top"/>
    </xf>
    <xf numFmtId="0" fontId="28" fillId="0" borderId="0" xfId="0" applyFont="1" applyAlignment="1">
      <alignment horizontal="left" vertical="center" indent="1"/>
    </xf>
    <xf numFmtId="0" fontId="3" fillId="11" borderId="0" xfId="0" applyFont="1" applyFill="1" applyAlignment="1">
      <alignment horizontal="left" wrapText="1" indent="1"/>
    </xf>
    <xf numFmtId="0" fontId="0" fillId="11" borderId="0" xfId="0" applyFill="1" applyAlignment="1">
      <alignment horizontal="left" wrapText="1" indent="1"/>
    </xf>
  </cellXfs>
  <cellStyles count="3">
    <cellStyle name="Comma" xfId="1" builtinId="3"/>
    <cellStyle name="Hyperlink" xfId="2" builtinId="8"/>
    <cellStyle name="Normal" xfId="0" builtinId="0"/>
  </cellStyles>
  <dxfs count="4">
    <dxf>
      <numFmt numFmtId="0" formatCode="General"/>
    </dxf>
    <dxf>
      <numFmt numFmtId="0" formatCode="General"/>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The Cost of Inaction: 2022 Energy Crisis Exposure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E0E4-4B43-A2B6-39C09B9E0D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'1_Scenario_Manager'!$E$3:$E$4</c:f>
              <c:strCache>
                <c:ptCount val="2"/>
                <c:pt idx="0">
                  <c:v>Poland Actual (15% Reduction)</c:v>
                </c:pt>
                <c:pt idx="1">
                  <c:v>Denmark Target (75% Reduction)</c:v>
                </c:pt>
              </c:strCache>
            </c:strRef>
          </c:cat>
          <c:val>
            <c:numRef>
              <c:f>'1_Scenario_Manager'!$F$3:$F$4</c:f>
              <c:numCache>
                <c:formatCode>\€\ #,##0.00\ "B"</c:formatCode>
                <c:ptCount val="2"/>
                <c:pt idx="0">
                  <c:v>31.024999999999999</c:v>
                </c:pt>
                <c:pt idx="1">
                  <c:v>9.125</c:v>
                </c:pt>
              </c:numCache>
            </c:numRef>
          </c:val>
          <c:extLst>
            <c:ext xmlns:c16="http://schemas.microsoft.com/office/drawing/2014/chart" uri="{C3380CC4-5D6E-409C-BE32-E72D297353CC}">
              <c16:uniqueId val="{00000000-E0E4-4B43-A2B6-39C09B9E0DA8}"/>
            </c:ext>
          </c:extLst>
        </c:ser>
        <c:dLbls>
          <c:showLegendKey val="0"/>
          <c:showVal val="0"/>
          <c:showCatName val="0"/>
          <c:showSerName val="0"/>
          <c:showPercent val="0"/>
          <c:showBubbleSize val="0"/>
        </c:dLbls>
        <c:gapWidth val="219"/>
        <c:overlap val="-27"/>
        <c:axId val="365308863"/>
        <c:axId val="365299455"/>
      </c:barChart>
      <c:catAx>
        <c:axId val="36530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5299455"/>
        <c:crosses val="autoZero"/>
        <c:auto val="1"/>
        <c:lblAlgn val="ctr"/>
        <c:lblOffset val="100"/>
        <c:noMultiLvlLbl val="0"/>
      </c:catAx>
      <c:valAx>
        <c:axId val="365299455"/>
        <c:scaling>
          <c:orientation val="minMax"/>
        </c:scaling>
        <c:delete val="1"/>
        <c:axPos val="l"/>
        <c:majorGridlines>
          <c:spPr>
            <a:ln w="9525" cap="flat" cmpd="sng" algn="ctr">
              <a:solidFill>
                <a:schemeClr val="tx1">
                  <a:lumMod val="15000"/>
                  <a:lumOff val="85000"/>
                </a:schemeClr>
              </a:solidFill>
              <a:round/>
            </a:ln>
            <a:effectLst/>
          </c:spPr>
        </c:majorGridlines>
        <c:numFmt formatCode="\€\ #,##0.00\ &quot;B&quot;" sourceLinked="1"/>
        <c:majorTickMark val="none"/>
        <c:minorTickMark val="none"/>
        <c:tickLblPos val="nextTo"/>
        <c:crossAx val="365308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Cumulative Cash Flow &amp; Break-Even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'3_NPV_Comparison'!$A$27</c:f>
              <c:strCache>
                <c:ptCount val="1"/>
                <c:pt idx="0">
                  <c:v>Cumulative Wind</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numRef>
              <c:f>'3_NPV_Comparison'!$B$14:$V$14</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'3_NPV_Comparison'!$B$27:$V$27</c:f>
              <c:numCache>
                <c:formatCode>\€\ #,##0.00,,\ "M"</c:formatCode>
                <c:ptCount val="21"/>
                <c:pt idx="0">
                  <c:v>-1000000000</c:v>
                </c:pt>
                <c:pt idx="1">
                  <c:v>-700000000</c:v>
                </c:pt>
                <c:pt idx="2">
                  <c:v>-400000000</c:v>
                </c:pt>
                <c:pt idx="3">
                  <c:v>-100000000</c:v>
                </c:pt>
                <c:pt idx="4">
                  <c:v>200000000</c:v>
                </c:pt>
                <c:pt idx="5">
                  <c:v>500000000</c:v>
                </c:pt>
                <c:pt idx="6">
                  <c:v>800000000</c:v>
                </c:pt>
                <c:pt idx="7">
                  <c:v>1100000000</c:v>
                </c:pt>
                <c:pt idx="8">
                  <c:v>1400000000</c:v>
                </c:pt>
                <c:pt idx="9">
                  <c:v>1700000000</c:v>
                </c:pt>
                <c:pt idx="10">
                  <c:v>2000000000</c:v>
                </c:pt>
                <c:pt idx="11">
                  <c:v>2300000000</c:v>
                </c:pt>
                <c:pt idx="12">
                  <c:v>2600000000</c:v>
                </c:pt>
                <c:pt idx="13">
                  <c:v>2900000000</c:v>
                </c:pt>
                <c:pt idx="14">
                  <c:v>3200000000</c:v>
                </c:pt>
                <c:pt idx="15">
                  <c:v>3500000000</c:v>
                </c:pt>
                <c:pt idx="16">
                  <c:v>3800000000</c:v>
                </c:pt>
                <c:pt idx="17">
                  <c:v>4100000000</c:v>
                </c:pt>
                <c:pt idx="18">
                  <c:v>4400000000</c:v>
                </c:pt>
                <c:pt idx="19">
                  <c:v>4700000000</c:v>
                </c:pt>
                <c:pt idx="20">
                  <c:v>5000000000</c:v>
                </c:pt>
              </c:numCache>
            </c:numRef>
          </c:val>
          <c:smooth val="0"/>
          <c:extLst>
            <c:ext xmlns:c16="http://schemas.microsoft.com/office/drawing/2014/chart" uri="{C3380CC4-5D6E-409C-BE32-E72D297353CC}">
              <c16:uniqueId val="{00000001-75EC-CE4F-80FF-01CE86F95651}"/>
            </c:ext>
          </c:extLst>
        </c:ser>
        <c:ser>
          <c:idx val="2"/>
          <c:order val="1"/>
          <c:tx>
            <c:strRef>
              <c:f>'3_NPV_Comparison'!$A$28</c:f>
              <c:strCache>
                <c:ptCount val="1"/>
                <c:pt idx="0">
                  <c:v>Cumulative Gas</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numRef>
              <c:f>'3_NPV_Comparison'!$B$14:$V$14</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'3_NPV_Comparison'!$B$28:$V$28</c:f>
              <c:numCache>
                <c:formatCode>\€\ #,##0.00,,\ "M"</c:formatCode>
                <c:ptCount val="21"/>
                <c:pt idx="0">
                  <c:v>-400000000</c:v>
                </c:pt>
                <c:pt idx="1">
                  <c:v>-376000000</c:v>
                </c:pt>
                <c:pt idx="2">
                  <c:v>-352000000</c:v>
                </c:pt>
                <c:pt idx="3">
                  <c:v>-328000000</c:v>
                </c:pt>
                <c:pt idx="4">
                  <c:v>-304000000</c:v>
                </c:pt>
                <c:pt idx="5">
                  <c:v>-280000000</c:v>
                </c:pt>
                <c:pt idx="6">
                  <c:v>-256000000</c:v>
                </c:pt>
                <c:pt idx="7">
                  <c:v>-232000000</c:v>
                </c:pt>
                <c:pt idx="8">
                  <c:v>-208000000</c:v>
                </c:pt>
                <c:pt idx="9">
                  <c:v>-184000000</c:v>
                </c:pt>
                <c:pt idx="10">
                  <c:v>-160000000</c:v>
                </c:pt>
                <c:pt idx="11">
                  <c:v>-136000000</c:v>
                </c:pt>
                <c:pt idx="12">
                  <c:v>-112000000</c:v>
                </c:pt>
                <c:pt idx="13">
                  <c:v>-88000000</c:v>
                </c:pt>
                <c:pt idx="14">
                  <c:v>-64000000</c:v>
                </c:pt>
                <c:pt idx="15">
                  <c:v>-40000000</c:v>
                </c:pt>
                <c:pt idx="16">
                  <c:v>-16000000</c:v>
                </c:pt>
                <c:pt idx="17">
                  <c:v>8000000</c:v>
                </c:pt>
                <c:pt idx="18">
                  <c:v>32000000</c:v>
                </c:pt>
                <c:pt idx="19">
                  <c:v>56000000</c:v>
                </c:pt>
                <c:pt idx="20">
                  <c:v>80000000</c:v>
                </c:pt>
              </c:numCache>
            </c:numRef>
          </c:val>
          <c:smooth val="0"/>
          <c:extLst>
            <c:ext xmlns:c16="http://schemas.microsoft.com/office/drawing/2014/chart" uri="{C3380CC4-5D6E-409C-BE32-E72D297353CC}">
              <c16:uniqueId val="{00000002-75EC-CE4F-80FF-01CE86F95651}"/>
            </c:ext>
          </c:extLst>
        </c:ser>
        <c:dLbls>
          <c:showLegendKey val="0"/>
          <c:showVal val="0"/>
          <c:showCatName val="0"/>
          <c:showSerName val="0"/>
          <c:showPercent val="0"/>
          <c:showBubbleSize val="0"/>
        </c:dLbls>
        <c:marker val="1"/>
        <c:smooth val="0"/>
        <c:axId val="374104831"/>
        <c:axId val="374106175"/>
      </c:lineChart>
      <c:catAx>
        <c:axId val="37410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06175"/>
        <c:crosses val="autoZero"/>
        <c:auto val="1"/>
        <c:lblAlgn val="ctr"/>
        <c:lblOffset val="100"/>
        <c:noMultiLvlLbl val="0"/>
      </c:catAx>
      <c:valAx>
        <c:axId val="374106175"/>
        <c:scaling>
          <c:orientation val="minMax"/>
        </c:scaling>
        <c:delete val="0"/>
        <c:axPos val="l"/>
        <c:majorGridlines>
          <c:spPr>
            <a:ln w="9525" cap="flat" cmpd="sng" algn="ctr">
              <a:solidFill>
                <a:schemeClr val="tx1">
                  <a:lumMod val="15000"/>
                  <a:lumOff val="85000"/>
                </a:schemeClr>
              </a:solidFill>
              <a:round/>
            </a:ln>
            <a:effectLst/>
          </c:spPr>
        </c:majorGridlines>
        <c:numFmt formatCode="\€\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04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175683</xdr:colOff>
      <xdr:row>5</xdr:row>
      <xdr:rowOff>84667</xdr:rowOff>
    </xdr:from>
    <xdr:to>
      <xdr:col>8</xdr:col>
      <xdr:colOff>150283</xdr:colOff>
      <xdr:row>18</xdr:row>
      <xdr:rowOff>38099</xdr:rowOff>
    </xdr:to>
    <xdr:graphicFrame macro="">
      <xdr:nvGraphicFramePr>
        <xdr:cNvPr id="2" name="Chart 1">
          <a:extLst>
            <a:ext uri="{FF2B5EF4-FFF2-40B4-BE49-F238E27FC236}">
              <a16:creationId xmlns:a16="http://schemas.microsoft.com/office/drawing/2014/main" id="{9A060331-4CF9-10DB-0969-439BF70B1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449000</xdr:colOff>
      <xdr:row>31</xdr:row>
      <xdr:rowOff>55135</xdr:rowOff>
    </xdr:from>
    <xdr:to>
      <xdr:col>11</xdr:col>
      <xdr:colOff>293991</xdr:colOff>
      <xdr:row>47</xdr:row>
      <xdr:rowOff>74558</xdr:rowOff>
    </xdr:to>
    <xdr:graphicFrame macro="">
      <xdr:nvGraphicFramePr>
        <xdr:cNvPr id="2" name="Chart 1">
          <a:extLst>
            <a:ext uri="{FF2B5EF4-FFF2-40B4-BE49-F238E27FC236}">
              <a16:creationId xmlns:a16="http://schemas.microsoft.com/office/drawing/2014/main" id="{A55BB876-6762-4CD4-4CB5-062034453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D45D52-192E-264A-91C2-F9CC04BFD37F}" autoFormatId="16" applyNumberFormats="0" applyBorderFormats="0" applyFontFormats="0" applyPatternFormats="0" applyAlignmentFormats="0" applyWidthHeightFormats="0">
  <queryTableRefresh nextId="31">
    <queryTableFields count="20">
      <queryTableField id="1" name="country_name" tableColumnId="1"/>
      <queryTableField id="2" name="year" tableColumnId="2"/>
      <queryTableField id="3" name="co2" tableColumnId="3"/>
      <queryTableField id="4" name="co2_per_capita" tableColumnId="4"/>
      <queryTableField id="5" name="coal_co2" tableColumnId="5"/>
      <queryTableField id="6" name="gas_co2" tableColumnId="6"/>
      <queryTableField id="7" name="oil_co2" tableColumnId="7"/>
      <queryTableField id="8" name="gdp" tableColumnId="8"/>
      <queryTableField id="10" name="net_imports_gwh" tableColumnId="10"/>
      <queryTableField id="11" name="elec_price_eur_kwh" tableColumnId="11"/>
      <queryTableField id="12" name="elec_gen_clean_twh" tableColumnId="12"/>
      <queryTableField id="13" name="elec_gen_fossil_twh" tableColumnId="13"/>
      <queryTableField id="14" name="elec_gen_hydro_twh" tableColumnId="14"/>
      <queryTableField id="15" name="elec_gen_nuclear_twh" tableColumnId="15"/>
      <queryTableField id="16" name="elec_gen_renewables_twh" tableColumnId="16"/>
      <queryTableField id="17" name="elec_gen_solar_twh" tableColumnId="17"/>
      <queryTableField id="18" name="elec_gen_wind_twh" tableColumnId="18"/>
      <queryTableField id="20" name="carbon_price_eur_tonne" tableColumnId="20"/>
      <queryTableField id="9" name="renewable_capacity_mw" tableColumnId="9"/>
      <queryTableField id="19" name="elec_gen_total_twh"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63743-8752-4A44-A7E0-7F90120DB859}" name="master_panel_data" displayName="master_panel_data" ref="A1:T379" tableType="queryTable" totalsRowShown="0">
  <autoFilter ref="A1:T379" xr:uid="{5F363743-8752-4A44-A7E0-7F90120DB859}"/>
  <tableColumns count="20">
    <tableColumn id="1" xr3:uid="{D7A0A7E2-B404-E245-9598-AC7E3DA2E70D}" uniqueName="1" name="country_name" queryTableFieldId="1" dataDxfId="3"/>
    <tableColumn id="2" xr3:uid="{5CAA8979-3CA8-7B4B-A3A7-713226D5FBBB}" uniqueName="2" name="year" queryTableFieldId="2"/>
    <tableColumn id="3" xr3:uid="{2B5F7240-2856-024E-A5F2-E28DD26DBEDB}" uniqueName="3" name="co2" queryTableFieldId="3"/>
    <tableColumn id="4" xr3:uid="{89EDA5F8-3374-5040-AE51-316D7F14F05F}" uniqueName="4" name="co2_per_capita" queryTableFieldId="4"/>
    <tableColumn id="5" xr3:uid="{8BDBD8C4-4021-2D4B-A6DA-64DEF5C24260}" uniqueName="5" name="coal_co2" queryTableFieldId="5"/>
    <tableColumn id="6" xr3:uid="{627C500B-BA12-B447-B8C6-DA53810D34BF}" uniqueName="6" name="gas_co2" queryTableFieldId="6"/>
    <tableColumn id="7" xr3:uid="{C9682B2A-BC83-2B4C-A957-F207943A4DFE}" uniqueName="7" name="oil_co2" queryTableFieldId="7"/>
    <tableColumn id="8" xr3:uid="{B7DEC2F3-3170-E64B-8A97-791346826F80}" uniqueName="8" name="gdp" queryTableFieldId="8" dataDxfId="2"/>
    <tableColumn id="10" xr3:uid="{12810209-1AB0-0141-A904-2CD785B68D10}" uniqueName="10" name="net_imports_gwh" queryTableFieldId="10"/>
    <tableColumn id="11" xr3:uid="{65192CA6-CAD7-6045-9633-E95788F8F39E}" uniqueName="11" name="elec_price_eur_kwh" queryTableFieldId="11"/>
    <tableColumn id="12" xr3:uid="{AD9379B5-24CF-FD42-A5FB-74BF67207AFA}" uniqueName="12" name="elec_gen_clean_twh" queryTableFieldId="12"/>
    <tableColumn id="13" xr3:uid="{4251BA6F-F7EE-0348-B969-B3F2115AE98C}" uniqueName="13" name="elec_gen_fossil_twh" queryTableFieldId="13"/>
    <tableColumn id="14" xr3:uid="{B5FBE9A6-3FC4-9B4F-852D-43A91DC66DE8}" uniqueName="14" name="elec_gen_hydro_twh" queryTableFieldId="14"/>
    <tableColumn id="15" xr3:uid="{A7192BF3-F10C-5749-8F68-F70645F6D18B}" uniqueName="15" name="elec_gen_nuclear_twh" queryTableFieldId="15"/>
    <tableColumn id="16" xr3:uid="{B50D2BCA-B2B2-D94D-B969-B23E1529D9F7}" uniqueName="16" name="elec_gen_renewables_twh" queryTableFieldId="16"/>
    <tableColumn id="17" xr3:uid="{7C71BD68-4965-4E42-A2EC-51F8F130F43E}" uniqueName="17" name="elec_gen_solar_twh" queryTableFieldId="17"/>
    <tableColumn id="18" xr3:uid="{D77E5B88-6E93-7B45-AFED-3B39C5165836}" uniqueName="18" name="elec_gen_wind_twh" queryTableFieldId="18"/>
    <tableColumn id="20" xr3:uid="{E47F4388-281A-1149-973A-8199F73EC549}" uniqueName="20" name="carbon_price_eur_tonne" queryTableFieldId="20"/>
    <tableColumn id="9" xr3:uid="{489D8FD2-2FEC-8A41-A121-714A6A9C80F9}" uniqueName="9" name="renewable_capacity_mw" queryTableFieldId="9" dataDxfId="1"/>
    <tableColumn id="19" xr3:uid="{30D68842-D65A-9B46-B8FC-A60AB6DED0C3}" uniqueName="19" name="elec_gen_total_twh"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F30AB-2253-F94F-8CCD-101C63F1BFE1}">
  <dimension ref="A1:K35"/>
  <sheetViews>
    <sheetView showGridLines="0" zoomScale="75" workbookViewId="0">
      <selection activeCell="C10" sqref="C10"/>
    </sheetView>
  </sheetViews>
  <sheetFormatPr baseColWidth="10" defaultRowHeight="16"/>
  <cols>
    <col min="2" max="2" width="73.33203125" customWidth="1"/>
    <col min="3" max="3" width="96.6640625" customWidth="1"/>
  </cols>
  <sheetData>
    <row r="1" spans="1:11">
      <c r="A1" s="73"/>
      <c r="B1" s="73"/>
      <c r="C1" s="73"/>
      <c r="D1" s="73"/>
      <c r="E1" s="73"/>
      <c r="F1" s="73"/>
      <c r="G1" s="73"/>
      <c r="H1" s="73"/>
      <c r="I1" s="73"/>
      <c r="J1" s="73"/>
      <c r="K1" s="73"/>
    </row>
    <row r="2" spans="1:11" ht="26">
      <c r="A2" s="73"/>
      <c r="B2" s="87" t="s">
        <v>113</v>
      </c>
      <c r="C2" s="73"/>
      <c r="D2" s="73"/>
      <c r="E2" s="73"/>
      <c r="F2" s="73"/>
      <c r="G2" s="73"/>
      <c r="H2" s="73"/>
      <c r="I2" s="73"/>
      <c r="J2" s="73"/>
      <c r="K2" s="73"/>
    </row>
    <row r="3" spans="1:11">
      <c r="A3" s="73"/>
      <c r="B3" s="88" t="s">
        <v>114</v>
      </c>
      <c r="C3" s="73"/>
      <c r="D3" s="73"/>
      <c r="E3" s="73"/>
      <c r="F3" s="73"/>
      <c r="G3" s="73"/>
      <c r="H3" s="73"/>
      <c r="I3" s="73"/>
      <c r="J3" s="73"/>
      <c r="K3" s="73"/>
    </row>
    <row r="5" spans="1:11" ht="19">
      <c r="B5" s="89" t="s">
        <v>115</v>
      </c>
    </row>
    <row r="6" spans="1:11" ht="97" customHeight="1">
      <c r="B6" s="93" t="s">
        <v>116</v>
      </c>
    </row>
    <row r="9" spans="1:11" ht="19">
      <c r="B9" s="90" t="s">
        <v>117</v>
      </c>
    </row>
    <row r="10" spans="1:11" ht="51">
      <c r="B10" s="92" t="s">
        <v>118</v>
      </c>
    </row>
    <row r="11" spans="1:11">
      <c r="B11" s="93"/>
    </row>
    <row r="12" spans="1:11" ht="51">
      <c r="B12" s="92" t="s">
        <v>119</v>
      </c>
    </row>
    <row r="13" spans="1:11">
      <c r="B13" s="93"/>
    </row>
    <row r="14" spans="1:11" ht="51">
      <c r="B14" s="92" t="s">
        <v>120</v>
      </c>
    </row>
    <row r="17" spans="2:3" ht="19">
      <c r="B17" s="90" t="s">
        <v>121</v>
      </c>
    </row>
    <row r="18" spans="2:3">
      <c r="B18" s="95" t="s">
        <v>127</v>
      </c>
    </row>
    <row r="19" spans="2:3" ht="52" customHeight="1">
      <c r="B19" s="96" t="s">
        <v>128</v>
      </c>
      <c r="C19" s="9" t="s">
        <v>132</v>
      </c>
    </row>
    <row r="20" spans="2:3">
      <c r="B20" s="98"/>
      <c r="C20" s="97"/>
    </row>
    <row r="21" spans="2:3" ht="51">
      <c r="B21" s="96" t="s">
        <v>129</v>
      </c>
      <c r="C21" s="9" t="s">
        <v>133</v>
      </c>
    </row>
    <row r="22" spans="2:3">
      <c r="B22" s="98"/>
      <c r="C22" s="97"/>
    </row>
    <row r="23" spans="2:3" ht="51">
      <c r="B23" s="96" t="s">
        <v>130</v>
      </c>
      <c r="C23" s="9" t="s">
        <v>134</v>
      </c>
    </row>
    <row r="24" spans="2:3">
      <c r="B24" s="98"/>
      <c r="C24" s="97"/>
    </row>
    <row r="25" spans="2:3" ht="51">
      <c r="B25" s="96" t="s">
        <v>131</v>
      </c>
      <c r="C25" s="9" t="s">
        <v>135</v>
      </c>
    </row>
    <row r="28" spans="2:3" ht="19">
      <c r="B28" s="91" t="s">
        <v>122</v>
      </c>
    </row>
    <row r="29" spans="2:3" ht="35">
      <c r="B29" s="99" t="s">
        <v>123</v>
      </c>
    </row>
    <row r="30" spans="2:3">
      <c r="B30" s="100"/>
    </row>
    <row r="31" spans="2:3">
      <c r="B31" s="94" t="s">
        <v>124</v>
      </c>
    </row>
    <row r="32" spans="2:3">
      <c r="B32" s="100"/>
    </row>
    <row r="33" spans="2:2" ht="34">
      <c r="B33" s="99" t="s">
        <v>125</v>
      </c>
    </row>
    <row r="34" spans="2:2">
      <c r="B34" s="100"/>
    </row>
    <row r="35" spans="2:2" ht="34">
      <c r="B35" s="99" t="s">
        <v>126</v>
      </c>
    </row>
  </sheetData>
  <hyperlinks>
    <hyperlink ref="B21" location="'1_Scenario_Manager'!A1" display="[Sheet 1] Scenario Manager: Dynamic €-Billion sovereign risk counterfactuals (2022 Crisis)." xr:uid="{B89723B6-F1EC-5048-B5DB-2E309A29C2B5}"/>
    <hyperlink ref="B19" location="'0_Data_Connection'!A1" display="[Sheet 0] Master Data Panel: Cleaned historical generation and ETS pricing data (2010-2023)." xr:uid="{69E2F843-7D19-D54F-BBAD-446B0185B6E4}"/>
    <hyperlink ref="B23" location="'2_Sensitivity_Analysis'!A1" display="[Sheet 2] Sensitivity Matrix: Heatmap modeling investment payback periods against ETS carbon pricing." xr:uid="{54C930BC-0AFE-8F43-BFFD-2DDB011BCC79}"/>
    <hyperlink ref="B25" location="'3_NPV_Comparison'!A1" display="[Sheet 3] NPV DCF Model: 20-year cumulative cash flow and break-even analysis." xr:uid="{44C41642-C620-2545-8CF5-4C1206A710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C5BD-75C0-CF4F-91C6-8FD75C0A6D17}">
  <dimension ref="A1:T379"/>
  <sheetViews>
    <sheetView workbookViewId="0">
      <selection activeCell="H2" sqref="H2"/>
    </sheetView>
  </sheetViews>
  <sheetFormatPr baseColWidth="10" defaultRowHeight="16"/>
  <cols>
    <col min="1" max="1" width="15.5" bestFit="1" customWidth="1"/>
    <col min="2" max="2" width="7.33203125" bestFit="1" customWidth="1"/>
    <col min="3" max="3" width="8.1640625" bestFit="1" customWidth="1"/>
    <col min="4" max="4" width="16.1640625" bestFit="1" customWidth="1"/>
    <col min="5" max="5" width="10.83203125" bestFit="1" customWidth="1"/>
    <col min="6" max="6" width="10.33203125" bestFit="1" customWidth="1"/>
    <col min="7" max="7" width="9.5" bestFit="1" customWidth="1"/>
    <col min="8" max="8" width="14.1640625" style="3" bestFit="1" customWidth="1"/>
    <col min="9" max="9" width="18.1640625" bestFit="1" customWidth="1"/>
    <col min="10" max="10" width="20.33203125" bestFit="1" customWidth="1"/>
    <col min="11" max="12" width="20.6640625" bestFit="1" customWidth="1"/>
    <col min="13" max="13" width="21" bestFit="1" customWidth="1"/>
    <col min="14" max="14" width="22.33203125" bestFit="1" customWidth="1"/>
    <col min="15" max="15" width="26" bestFit="1" customWidth="1"/>
    <col min="16" max="17" width="20.33203125" bestFit="1" customWidth="1"/>
    <col min="18" max="18" width="23.6640625" bestFit="1" customWidth="1"/>
    <col min="19" max="19" width="24.6640625" style="2" bestFit="1" customWidth="1"/>
    <col min="20" max="20" width="20.1640625" bestFit="1" customWidth="1"/>
  </cols>
  <sheetData>
    <row r="1" spans="1:20">
      <c r="A1" t="s">
        <v>0</v>
      </c>
      <c r="B1" t="s">
        <v>1</v>
      </c>
      <c r="C1" t="s">
        <v>2</v>
      </c>
      <c r="D1" t="s">
        <v>3</v>
      </c>
      <c r="E1" t="s">
        <v>4</v>
      </c>
      <c r="F1" t="s">
        <v>5</v>
      </c>
      <c r="G1" t="s">
        <v>6</v>
      </c>
      <c r="H1" s="3" t="s">
        <v>7</v>
      </c>
      <c r="I1" t="s">
        <v>9</v>
      </c>
      <c r="J1" t="s">
        <v>10</v>
      </c>
      <c r="K1" t="s">
        <v>11</v>
      </c>
      <c r="L1" t="s">
        <v>12</v>
      </c>
      <c r="M1" t="s">
        <v>13</v>
      </c>
      <c r="N1" t="s">
        <v>14</v>
      </c>
      <c r="O1" t="s">
        <v>15</v>
      </c>
      <c r="P1" t="s">
        <v>16</v>
      </c>
      <c r="Q1" t="s">
        <v>17</v>
      </c>
      <c r="R1" t="s">
        <v>19</v>
      </c>
      <c r="S1" s="2" t="s">
        <v>8</v>
      </c>
      <c r="T1" t="s">
        <v>18</v>
      </c>
    </row>
    <row r="2" spans="1:20">
      <c r="A2" s="1" t="s">
        <v>20</v>
      </c>
      <c r="B2">
        <v>2010</v>
      </c>
      <c r="C2">
        <v>72</v>
      </c>
      <c r="D2">
        <v>8.6069999999999993</v>
      </c>
      <c r="E2">
        <v>15.497</v>
      </c>
      <c r="F2">
        <v>18.777999999999999</v>
      </c>
      <c r="G2">
        <v>34.784999999999997</v>
      </c>
      <c r="H2" s="3">
        <v>338832243101</v>
      </c>
      <c r="I2">
        <v>5021.8980000000001</v>
      </c>
      <c r="J2">
        <v>0.19485000000000002</v>
      </c>
      <c r="K2">
        <v>44.99</v>
      </c>
      <c r="L2">
        <v>22.83</v>
      </c>
      <c r="M2">
        <v>38.36</v>
      </c>
      <c r="N2">
        <v>0</v>
      </c>
      <c r="O2">
        <v>44.99</v>
      </c>
      <c r="P2">
        <v>0.09</v>
      </c>
      <c r="Q2">
        <v>2.06</v>
      </c>
      <c r="R2">
        <v>14.38</v>
      </c>
      <c r="S2" s="1">
        <v>20543.3338</v>
      </c>
      <c r="T2" s="1">
        <v>112.81</v>
      </c>
    </row>
    <row r="3" spans="1:20">
      <c r="A3" s="1" t="s">
        <v>20</v>
      </c>
      <c r="B3">
        <v>2011</v>
      </c>
      <c r="C3">
        <v>69.891999999999996</v>
      </c>
      <c r="D3">
        <v>8.327</v>
      </c>
      <c r="E3">
        <v>15.818</v>
      </c>
      <c r="F3">
        <v>17.73</v>
      </c>
      <c r="G3">
        <v>33.268999999999998</v>
      </c>
      <c r="H3" s="3">
        <v>349713455451</v>
      </c>
      <c r="I3">
        <v>4637.7460000000001</v>
      </c>
      <c r="J3">
        <v>0.19755</v>
      </c>
      <c r="K3">
        <v>40.909999999999997</v>
      </c>
      <c r="L3">
        <v>21.29</v>
      </c>
      <c r="M3">
        <v>34.24</v>
      </c>
      <c r="N3">
        <v>0</v>
      </c>
      <c r="O3">
        <v>40.909999999999997</v>
      </c>
      <c r="P3">
        <v>0.17</v>
      </c>
      <c r="Q3">
        <v>1.94</v>
      </c>
      <c r="R3">
        <v>13.07</v>
      </c>
      <c r="S3" s="1">
        <v>18680.324199999999</v>
      </c>
      <c r="T3" s="1">
        <v>103.10999999999999</v>
      </c>
    </row>
    <row r="4" spans="1:20">
      <c r="A4" s="1" t="s">
        <v>20</v>
      </c>
      <c r="B4">
        <v>2012</v>
      </c>
      <c r="C4">
        <v>67.260000000000005</v>
      </c>
      <c r="D4">
        <v>7.9770000000000003</v>
      </c>
      <c r="E4">
        <v>14.686</v>
      </c>
      <c r="F4">
        <v>16.945</v>
      </c>
      <c r="G4">
        <v>32.627000000000002</v>
      </c>
      <c r="H4" s="3">
        <v>352093108730</v>
      </c>
      <c r="I4">
        <v>4952.5060000000003</v>
      </c>
      <c r="J4">
        <v>0.19995000000000002</v>
      </c>
      <c r="K4">
        <v>51.33</v>
      </c>
      <c r="L4">
        <v>17.32</v>
      </c>
      <c r="M4">
        <v>43.85</v>
      </c>
      <c r="N4">
        <v>0</v>
      </c>
      <c r="O4">
        <v>51.33</v>
      </c>
      <c r="P4">
        <v>0.34</v>
      </c>
      <c r="Q4">
        <v>2.46</v>
      </c>
      <c r="R4">
        <v>7.33</v>
      </c>
      <c r="S4" s="1">
        <v>23438.304599999999</v>
      </c>
      <c r="T4" s="1">
        <v>119.98</v>
      </c>
    </row>
    <row r="5" spans="1:20">
      <c r="A5" s="1" t="s">
        <v>20</v>
      </c>
      <c r="B5">
        <v>2013</v>
      </c>
      <c r="C5">
        <v>67.759</v>
      </c>
      <c r="D5">
        <v>7.9889999999999999</v>
      </c>
      <c r="E5">
        <v>14.959</v>
      </c>
      <c r="F5">
        <v>16.332000000000001</v>
      </c>
      <c r="G5">
        <v>33.450000000000003</v>
      </c>
      <c r="H5" s="3">
        <v>352182904722</v>
      </c>
      <c r="I5">
        <v>4594.8230000000003</v>
      </c>
      <c r="J5">
        <v>0.20500000000000002</v>
      </c>
      <c r="K5">
        <v>50.5</v>
      </c>
      <c r="L5">
        <v>14.05</v>
      </c>
      <c r="M5">
        <v>42.02</v>
      </c>
      <c r="N5">
        <v>0</v>
      </c>
      <c r="O5">
        <v>50.5</v>
      </c>
      <c r="P5">
        <v>0.63</v>
      </c>
      <c r="Q5">
        <v>3.15</v>
      </c>
      <c r="R5">
        <v>4.45</v>
      </c>
      <c r="S5" s="1">
        <v>23059.31</v>
      </c>
      <c r="T5" s="1">
        <v>115.05</v>
      </c>
    </row>
    <row r="6" spans="1:20">
      <c r="A6" s="1" t="s">
        <v>20</v>
      </c>
      <c r="B6">
        <v>2014</v>
      </c>
      <c r="C6">
        <v>64.159000000000006</v>
      </c>
      <c r="D6">
        <v>7.5060000000000002</v>
      </c>
      <c r="E6">
        <v>13.801</v>
      </c>
      <c r="F6">
        <v>14.946999999999999</v>
      </c>
      <c r="G6">
        <v>32.412999999999997</v>
      </c>
      <c r="H6" s="3">
        <v>354511819035</v>
      </c>
      <c r="I6">
        <v>4548.6329999999998</v>
      </c>
      <c r="J6">
        <v>0.20039999999999999</v>
      </c>
      <c r="K6">
        <v>50.2</v>
      </c>
      <c r="L6">
        <v>11.35</v>
      </c>
      <c r="M6">
        <v>41.01</v>
      </c>
      <c r="N6">
        <v>0</v>
      </c>
      <c r="O6">
        <v>50.2</v>
      </c>
      <c r="P6">
        <v>0.79</v>
      </c>
      <c r="Q6">
        <v>3.85</v>
      </c>
      <c r="R6">
        <v>5.96</v>
      </c>
      <c r="S6" s="1">
        <v>22922.324000000001</v>
      </c>
      <c r="T6" s="1">
        <v>111.75</v>
      </c>
    </row>
    <row r="7" spans="1:20">
      <c r="A7" s="1" t="s">
        <v>20</v>
      </c>
      <c r="B7">
        <v>2015</v>
      </c>
      <c r="C7">
        <v>66.358000000000004</v>
      </c>
      <c r="D7">
        <v>7.6769999999999996</v>
      </c>
      <c r="E7">
        <v>14.371</v>
      </c>
      <c r="F7">
        <v>15.965999999999999</v>
      </c>
      <c r="G7">
        <v>32.994999999999997</v>
      </c>
      <c r="H7" s="3">
        <v>358108266932</v>
      </c>
      <c r="I7">
        <v>4142.8230000000003</v>
      </c>
      <c r="J7">
        <v>0.1996</v>
      </c>
      <c r="K7">
        <v>47.59</v>
      </c>
      <c r="L7">
        <v>14.19</v>
      </c>
      <c r="M7">
        <v>37.159999999999997</v>
      </c>
      <c r="N7">
        <v>0</v>
      </c>
      <c r="O7">
        <v>47.59</v>
      </c>
      <c r="P7">
        <v>0.94</v>
      </c>
      <c r="Q7">
        <v>4.84</v>
      </c>
      <c r="R7">
        <v>7.68</v>
      </c>
      <c r="S7" s="1">
        <v>21730.545800000004</v>
      </c>
      <c r="T7" s="1">
        <v>109.37</v>
      </c>
    </row>
    <row r="8" spans="1:20">
      <c r="A8" s="1" t="s">
        <v>20</v>
      </c>
      <c r="B8">
        <v>2016</v>
      </c>
      <c r="C8">
        <v>67.218999999999994</v>
      </c>
      <c r="D8">
        <v>7.6929999999999996</v>
      </c>
      <c r="E8">
        <v>13.334</v>
      </c>
      <c r="F8">
        <v>16.736999999999998</v>
      </c>
      <c r="G8">
        <v>34.107999999999997</v>
      </c>
      <c r="H8" s="3">
        <v>365232738553</v>
      </c>
      <c r="I8">
        <v>4303.6149999999998</v>
      </c>
      <c r="J8">
        <v>0.20219999999999999</v>
      </c>
      <c r="K8">
        <v>51.08</v>
      </c>
      <c r="L8">
        <v>13.79</v>
      </c>
      <c r="M8">
        <v>39.97</v>
      </c>
      <c r="N8">
        <v>0</v>
      </c>
      <c r="O8">
        <v>51.08</v>
      </c>
      <c r="P8">
        <v>1.1000000000000001</v>
      </c>
      <c r="Q8">
        <v>5.23</v>
      </c>
      <c r="R8">
        <v>5.35</v>
      </c>
      <c r="S8" s="1">
        <v>23324.149600000001</v>
      </c>
      <c r="T8" s="1">
        <v>115.95</v>
      </c>
    </row>
    <row r="9" spans="1:20">
      <c r="A9" s="1" t="s">
        <v>20</v>
      </c>
      <c r="B9">
        <v>2017</v>
      </c>
      <c r="C9">
        <v>69.600999999999999</v>
      </c>
      <c r="D9">
        <v>7.91</v>
      </c>
      <c r="E9">
        <v>14.023</v>
      </c>
      <c r="F9">
        <v>17.975000000000001</v>
      </c>
      <c r="G9">
        <v>34.545999999999999</v>
      </c>
      <c r="H9" s="3">
        <v>373481694490</v>
      </c>
      <c r="I9">
        <v>4647.085</v>
      </c>
      <c r="J9">
        <v>0.19640000000000002</v>
      </c>
      <c r="K9">
        <v>51.05</v>
      </c>
      <c r="L9">
        <v>16.04</v>
      </c>
      <c r="M9">
        <v>38.29</v>
      </c>
      <c r="N9">
        <v>0</v>
      </c>
      <c r="O9">
        <v>51.05</v>
      </c>
      <c r="P9">
        <v>1.27</v>
      </c>
      <c r="Q9">
        <v>6.57</v>
      </c>
      <c r="R9">
        <v>5.83</v>
      </c>
      <c r="S9" s="1">
        <v>23310.450999999997</v>
      </c>
      <c r="T9" s="1">
        <v>118.14</v>
      </c>
    </row>
    <row r="10" spans="1:20">
      <c r="A10" s="1" t="s">
        <v>20</v>
      </c>
      <c r="B10">
        <v>2018</v>
      </c>
      <c r="C10">
        <v>66.566999999999993</v>
      </c>
      <c r="D10">
        <v>7.5289999999999999</v>
      </c>
      <c r="E10">
        <v>12.294</v>
      </c>
      <c r="F10">
        <v>17.018999999999998</v>
      </c>
      <c r="G10">
        <v>34.087000000000003</v>
      </c>
      <c r="H10" s="3">
        <v>382540042762</v>
      </c>
      <c r="I10">
        <v>4031.04</v>
      </c>
      <c r="J10">
        <v>0.19889999999999999</v>
      </c>
      <c r="K10">
        <v>50.06</v>
      </c>
      <c r="L10">
        <v>14.61</v>
      </c>
      <c r="M10">
        <v>37.64</v>
      </c>
      <c r="N10">
        <v>0</v>
      </c>
      <c r="O10">
        <v>50.06</v>
      </c>
      <c r="P10">
        <v>1.46</v>
      </c>
      <c r="Q10">
        <v>6.03</v>
      </c>
      <c r="R10">
        <v>15.88</v>
      </c>
      <c r="S10" s="1">
        <v>22858.397200000003</v>
      </c>
      <c r="T10" s="1">
        <v>114.73</v>
      </c>
    </row>
    <row r="11" spans="1:20">
      <c r="A11" s="1" t="s">
        <v>20</v>
      </c>
      <c r="B11">
        <v>2019</v>
      </c>
      <c r="C11">
        <v>67.950999999999993</v>
      </c>
      <c r="D11">
        <v>7.6509999999999998</v>
      </c>
      <c r="E11">
        <v>13.005000000000001</v>
      </c>
      <c r="F11">
        <v>17.791</v>
      </c>
      <c r="G11">
        <v>34.088000000000001</v>
      </c>
      <c r="H11" s="3">
        <v>388344674039</v>
      </c>
      <c r="I11">
        <v>4108.7809999999999</v>
      </c>
      <c r="J11">
        <v>0.2054</v>
      </c>
      <c r="K11">
        <v>54.64</v>
      </c>
      <c r="L11">
        <v>16.05</v>
      </c>
      <c r="M11">
        <v>40.83</v>
      </c>
      <c r="N11">
        <v>0</v>
      </c>
      <c r="O11">
        <v>54.64</v>
      </c>
      <c r="P11">
        <v>1.7</v>
      </c>
      <c r="Q11">
        <v>7.45</v>
      </c>
      <c r="R11">
        <v>24.84</v>
      </c>
      <c r="S11" s="1">
        <v>24949.716800000002</v>
      </c>
      <c r="T11" s="1">
        <v>125.33</v>
      </c>
    </row>
    <row r="12" spans="1:20">
      <c r="A12" s="1" t="s">
        <v>20</v>
      </c>
      <c r="B12">
        <v>2020</v>
      </c>
      <c r="C12">
        <v>62.18</v>
      </c>
      <c r="D12">
        <v>6.97</v>
      </c>
      <c r="E12">
        <v>11.371</v>
      </c>
      <c r="F12">
        <v>16.959</v>
      </c>
      <c r="G12">
        <v>30.779</v>
      </c>
      <c r="H12" s="3">
        <v>363281092036</v>
      </c>
      <c r="I12">
        <v>3601.2429999999999</v>
      </c>
      <c r="J12">
        <v>0.21390000000000001</v>
      </c>
      <c r="K12">
        <v>55.42</v>
      </c>
      <c r="L12">
        <v>13.61</v>
      </c>
      <c r="M12">
        <v>42</v>
      </c>
      <c r="N12">
        <v>0</v>
      </c>
      <c r="O12">
        <v>55.42</v>
      </c>
      <c r="P12">
        <v>2.04</v>
      </c>
      <c r="Q12">
        <v>6.79</v>
      </c>
      <c r="R12">
        <v>24.75</v>
      </c>
      <c r="S12" s="1">
        <v>25305.880400000002</v>
      </c>
      <c r="T12" s="1">
        <v>124.45</v>
      </c>
    </row>
    <row r="13" spans="1:20">
      <c r="A13" s="1" t="s">
        <v>20</v>
      </c>
      <c r="B13">
        <v>2021</v>
      </c>
      <c r="C13">
        <v>65.751000000000005</v>
      </c>
      <c r="D13">
        <v>7.3330000000000002</v>
      </c>
      <c r="E13">
        <v>12.407999999999999</v>
      </c>
      <c r="F13">
        <v>17.922999999999998</v>
      </c>
      <c r="G13">
        <v>32.17</v>
      </c>
      <c r="H13" s="3">
        <v>379835198584</v>
      </c>
      <c r="I13">
        <v>3764.317</v>
      </c>
      <c r="J13">
        <v>0.22505</v>
      </c>
      <c r="K13">
        <v>52.75</v>
      </c>
      <c r="L13">
        <v>13.92</v>
      </c>
      <c r="M13">
        <v>38.75</v>
      </c>
      <c r="N13">
        <v>0</v>
      </c>
      <c r="O13">
        <v>52.75</v>
      </c>
      <c r="P13">
        <v>2.78</v>
      </c>
      <c r="Q13">
        <v>6.74</v>
      </c>
      <c r="R13">
        <v>53.55</v>
      </c>
      <c r="S13" s="1">
        <v>24086.705000000002</v>
      </c>
      <c r="T13" s="1">
        <v>119.42</v>
      </c>
    </row>
    <row r="14" spans="1:20">
      <c r="A14" s="1" t="s">
        <v>20</v>
      </c>
      <c r="B14">
        <v>2022</v>
      </c>
      <c r="C14">
        <v>61.454000000000001</v>
      </c>
      <c r="D14">
        <v>6.78</v>
      </c>
      <c r="E14">
        <v>11.663</v>
      </c>
      <c r="F14">
        <v>15.968</v>
      </c>
      <c r="G14">
        <v>30.702000000000002</v>
      </c>
      <c r="H14" s="3">
        <v>398815419150</v>
      </c>
      <c r="I14">
        <v>3602.5949999999998</v>
      </c>
      <c r="J14">
        <v>0.23094999999999999</v>
      </c>
      <c r="K14">
        <v>50.41</v>
      </c>
      <c r="L14">
        <v>14.06</v>
      </c>
      <c r="M14">
        <v>34.630000000000003</v>
      </c>
      <c r="N14">
        <v>0</v>
      </c>
      <c r="O14">
        <v>50.41</v>
      </c>
      <c r="P14">
        <v>3.79</v>
      </c>
      <c r="Q14">
        <v>7.24</v>
      </c>
      <c r="R14">
        <v>80.87</v>
      </c>
      <c r="S14" s="1">
        <v>23018.214199999999</v>
      </c>
      <c r="T14" s="1">
        <v>114.88</v>
      </c>
    </row>
    <row r="15" spans="1:20">
      <c r="A15" s="1" t="s">
        <v>20</v>
      </c>
      <c r="B15">
        <v>2023</v>
      </c>
      <c r="C15">
        <v>56.908999999999999</v>
      </c>
      <c r="D15">
        <v>6.2329999999999997</v>
      </c>
      <c r="E15">
        <v>11.146000000000001</v>
      </c>
      <c r="F15">
        <v>13.634</v>
      </c>
      <c r="G15">
        <v>29.376000000000001</v>
      </c>
      <c r="H15" s="3">
        <v>398815419150</v>
      </c>
      <c r="I15">
        <v>3518.5010000000002</v>
      </c>
      <c r="J15">
        <v>0.27005000000000001</v>
      </c>
      <c r="K15">
        <v>60.16</v>
      </c>
      <c r="L15">
        <v>10.82</v>
      </c>
      <c r="M15">
        <v>40.67</v>
      </c>
      <c r="N15">
        <v>0</v>
      </c>
      <c r="O15">
        <v>60.16</v>
      </c>
      <c r="P15">
        <v>6.89</v>
      </c>
      <c r="Q15">
        <v>8.0399999999999991</v>
      </c>
      <c r="R15">
        <v>85.3</v>
      </c>
      <c r="S15" s="1">
        <v>27470.2592</v>
      </c>
      <c r="T15" s="1">
        <v>131.13999999999999</v>
      </c>
    </row>
    <row r="16" spans="1:20">
      <c r="A16" s="1" t="s">
        <v>21</v>
      </c>
      <c r="B16">
        <v>2010</v>
      </c>
      <c r="C16">
        <v>114.563</v>
      </c>
      <c r="D16">
        <v>10.475</v>
      </c>
      <c r="E16">
        <v>17.526</v>
      </c>
      <c r="F16">
        <v>40.338999999999999</v>
      </c>
      <c r="G16">
        <v>51.152999999999999</v>
      </c>
      <c r="H16" s="3">
        <v>411261674695</v>
      </c>
      <c r="I16">
        <v>6763</v>
      </c>
      <c r="J16">
        <v>0.19664999999999999</v>
      </c>
      <c r="K16">
        <v>54.51</v>
      </c>
      <c r="L16">
        <v>38.53</v>
      </c>
      <c r="M16">
        <v>0.31</v>
      </c>
      <c r="N16">
        <v>47.94</v>
      </c>
      <c r="O16">
        <v>6.57</v>
      </c>
      <c r="P16">
        <v>0.57999999999999996</v>
      </c>
      <c r="Q16">
        <v>1.3</v>
      </c>
      <c r="R16">
        <v>14.38</v>
      </c>
      <c r="S16" s="1">
        <v>2999.9934000000003</v>
      </c>
      <c r="T16" s="1">
        <v>99.609999999999985</v>
      </c>
    </row>
    <row r="17" spans="1:20">
      <c r="A17" s="1" t="s">
        <v>21</v>
      </c>
      <c r="B17">
        <v>2011</v>
      </c>
      <c r="C17">
        <v>105.15900000000001</v>
      </c>
      <c r="D17">
        <v>9.5259999999999998</v>
      </c>
      <c r="E17">
        <v>16.689</v>
      </c>
      <c r="F17">
        <v>34.572000000000003</v>
      </c>
      <c r="G17">
        <v>48.22</v>
      </c>
      <c r="H17" s="3">
        <v>420934235947</v>
      </c>
      <c r="I17">
        <v>6558</v>
      </c>
      <c r="J17">
        <v>0.21274999999999999</v>
      </c>
      <c r="K17">
        <v>56.59</v>
      </c>
      <c r="L17">
        <v>32.69</v>
      </c>
      <c r="M17">
        <v>0.2</v>
      </c>
      <c r="N17">
        <v>48.23</v>
      </c>
      <c r="O17">
        <v>8.36</v>
      </c>
      <c r="P17">
        <v>1.21</v>
      </c>
      <c r="Q17">
        <v>2.3199999999999998</v>
      </c>
      <c r="R17">
        <v>13.07</v>
      </c>
      <c r="S17" s="1">
        <v>3817.3431999999998</v>
      </c>
      <c r="T17" s="1">
        <v>97.64</v>
      </c>
    </row>
    <row r="18" spans="1:20">
      <c r="A18" s="1" t="s">
        <v>21</v>
      </c>
      <c r="B18">
        <v>2012</v>
      </c>
      <c r="C18">
        <v>102.486</v>
      </c>
      <c r="D18">
        <v>9.2270000000000003</v>
      </c>
      <c r="E18">
        <v>15.077999999999999</v>
      </c>
      <c r="F18">
        <v>34.911000000000001</v>
      </c>
      <c r="G18">
        <v>47.133000000000003</v>
      </c>
      <c r="H18" s="3">
        <v>424045845634</v>
      </c>
      <c r="I18">
        <v>5968</v>
      </c>
      <c r="J18">
        <v>0.22749999999999998</v>
      </c>
      <c r="K18">
        <v>50.8</v>
      </c>
      <c r="L18">
        <v>30.71</v>
      </c>
      <c r="M18">
        <v>0.36</v>
      </c>
      <c r="N18">
        <v>40.29</v>
      </c>
      <c r="O18">
        <v>10.51</v>
      </c>
      <c r="P18">
        <v>2.15</v>
      </c>
      <c r="Q18">
        <v>2.76</v>
      </c>
      <c r="R18">
        <v>7.33</v>
      </c>
      <c r="S18" s="1">
        <v>4799.0761999999995</v>
      </c>
      <c r="T18" s="1">
        <v>92.02</v>
      </c>
    </row>
    <row r="19" spans="1:20">
      <c r="A19" s="1" t="s">
        <v>21</v>
      </c>
      <c r="B19">
        <v>2013</v>
      </c>
      <c r="C19">
        <v>102.816</v>
      </c>
      <c r="D19">
        <v>9.2129999999999992</v>
      </c>
      <c r="E19">
        <v>15.269</v>
      </c>
      <c r="F19">
        <v>35.271999999999998</v>
      </c>
      <c r="G19">
        <v>47.228999999999999</v>
      </c>
      <c r="H19" s="3">
        <v>425993254852</v>
      </c>
      <c r="I19">
        <v>6070</v>
      </c>
      <c r="J19">
        <v>0.21939999999999998</v>
      </c>
      <c r="K19">
        <v>54.36</v>
      </c>
      <c r="L19">
        <v>27.59</v>
      </c>
      <c r="M19">
        <v>0.38</v>
      </c>
      <c r="N19">
        <v>42.64</v>
      </c>
      <c r="O19">
        <v>11.72</v>
      </c>
      <c r="P19">
        <v>2.64</v>
      </c>
      <c r="Q19">
        <v>3.67</v>
      </c>
      <c r="R19">
        <v>4.45</v>
      </c>
      <c r="S19" s="1">
        <v>5351.5864000000001</v>
      </c>
      <c r="T19" s="1">
        <v>93.67</v>
      </c>
    </row>
    <row r="20" spans="1:20">
      <c r="A20" s="1" t="s">
        <v>21</v>
      </c>
      <c r="B20">
        <v>2014</v>
      </c>
      <c r="C20">
        <v>97.081000000000003</v>
      </c>
      <c r="D20">
        <v>8.66</v>
      </c>
      <c r="E20">
        <v>14.725</v>
      </c>
      <c r="F20">
        <v>30.995000000000001</v>
      </c>
      <c r="G20">
        <v>46.313000000000002</v>
      </c>
      <c r="H20" s="3">
        <v>432717694183</v>
      </c>
      <c r="I20">
        <v>5925</v>
      </c>
      <c r="J20">
        <v>0.20700000000000002</v>
      </c>
      <c r="K20">
        <v>45.91</v>
      </c>
      <c r="L20">
        <v>25.29</v>
      </c>
      <c r="M20">
        <v>0.28999999999999998</v>
      </c>
      <c r="N20">
        <v>33.700000000000003</v>
      </c>
      <c r="O20">
        <v>12.21</v>
      </c>
      <c r="P20">
        <v>2.89</v>
      </c>
      <c r="Q20">
        <v>4.62</v>
      </c>
      <c r="R20">
        <v>5.96</v>
      </c>
      <c r="S20" s="1">
        <v>5575.3302000000003</v>
      </c>
      <c r="T20" s="1">
        <v>83.41</v>
      </c>
    </row>
    <row r="21" spans="1:20">
      <c r="A21" s="1" t="s">
        <v>21</v>
      </c>
      <c r="B21">
        <v>2015</v>
      </c>
      <c r="C21">
        <v>101.327</v>
      </c>
      <c r="D21">
        <v>8.9870000000000001</v>
      </c>
      <c r="E21">
        <v>14.381</v>
      </c>
      <c r="F21">
        <v>33.811999999999998</v>
      </c>
      <c r="G21">
        <v>48.237000000000002</v>
      </c>
      <c r="H21" s="3">
        <v>441551470878</v>
      </c>
      <c r="I21">
        <v>4920.7</v>
      </c>
      <c r="J21">
        <v>0.22389999999999999</v>
      </c>
      <c r="K21">
        <v>40.54</v>
      </c>
      <c r="L21">
        <v>27.89</v>
      </c>
      <c r="M21">
        <v>0.32</v>
      </c>
      <c r="N21">
        <v>26.1</v>
      </c>
      <c r="O21">
        <v>14.44</v>
      </c>
      <c r="P21">
        <v>3.06</v>
      </c>
      <c r="Q21">
        <v>5.57</v>
      </c>
      <c r="R21">
        <v>7.68</v>
      </c>
      <c r="S21" s="1">
        <v>6593.5927999999994</v>
      </c>
      <c r="T21" s="1">
        <v>82.87</v>
      </c>
    </row>
    <row r="22" spans="1:20">
      <c r="A22" s="1" t="s">
        <v>21</v>
      </c>
      <c r="B22">
        <v>2016</v>
      </c>
      <c r="C22">
        <v>99.816000000000003</v>
      </c>
      <c r="D22">
        <v>8.8079999999999998</v>
      </c>
      <c r="E22">
        <v>13.476000000000001</v>
      </c>
      <c r="F22">
        <v>34.369</v>
      </c>
      <c r="G22">
        <v>47.124000000000002</v>
      </c>
      <c r="H22" s="3">
        <v>447144517813</v>
      </c>
      <c r="I22">
        <v>4425.2</v>
      </c>
      <c r="J22">
        <v>0.26445000000000002</v>
      </c>
      <c r="K22">
        <v>57.77</v>
      </c>
      <c r="L22">
        <v>26.54</v>
      </c>
      <c r="M22">
        <v>0.37</v>
      </c>
      <c r="N22">
        <v>43.52</v>
      </c>
      <c r="O22">
        <v>14.25</v>
      </c>
      <c r="P22">
        <v>3.1</v>
      </c>
      <c r="Q22">
        <v>5.42</v>
      </c>
      <c r="R22">
        <v>5.35</v>
      </c>
      <c r="S22" s="1">
        <v>6506.835</v>
      </c>
      <c r="T22" s="1">
        <v>98.56</v>
      </c>
    </row>
    <row r="23" spans="1:20">
      <c r="A23" s="1" t="s">
        <v>21</v>
      </c>
      <c r="B23">
        <v>2017</v>
      </c>
      <c r="C23">
        <v>99.281999999999996</v>
      </c>
      <c r="D23">
        <v>8.7270000000000003</v>
      </c>
      <c r="E23">
        <v>13.247</v>
      </c>
      <c r="F23">
        <v>35.03</v>
      </c>
      <c r="G23">
        <v>46.258000000000003</v>
      </c>
      <c r="H23" s="3">
        <v>454386396677</v>
      </c>
      <c r="I23">
        <v>4320.7</v>
      </c>
      <c r="J23">
        <v>0.28670000000000001</v>
      </c>
      <c r="K23">
        <v>58.03</v>
      </c>
      <c r="L23">
        <v>27.31</v>
      </c>
      <c r="M23">
        <v>0.27</v>
      </c>
      <c r="N23">
        <v>42.23</v>
      </c>
      <c r="O23">
        <v>15.8</v>
      </c>
      <c r="P23">
        <v>3.31</v>
      </c>
      <c r="Q23">
        <v>6.52</v>
      </c>
      <c r="R23">
        <v>5.83</v>
      </c>
      <c r="S23" s="1">
        <v>7214.5960000000005</v>
      </c>
      <c r="T23" s="1">
        <v>101.14</v>
      </c>
    </row>
    <row r="24" spans="1:20">
      <c r="A24" s="1" t="s">
        <v>21</v>
      </c>
      <c r="B24">
        <v>2018</v>
      </c>
      <c r="C24">
        <v>100.256</v>
      </c>
      <c r="D24">
        <v>8.7720000000000002</v>
      </c>
      <c r="E24">
        <v>13.297000000000001</v>
      </c>
      <c r="F24">
        <v>36.103999999999999</v>
      </c>
      <c r="G24">
        <v>45.875</v>
      </c>
      <c r="H24" s="3">
        <v>462533269863</v>
      </c>
      <c r="I24">
        <v>4730.2</v>
      </c>
      <c r="J24">
        <v>0.28800000000000003</v>
      </c>
      <c r="K24">
        <v>45.76</v>
      </c>
      <c r="L24">
        <v>28.11</v>
      </c>
      <c r="M24">
        <v>0.28999999999999998</v>
      </c>
      <c r="N24">
        <v>28.6</v>
      </c>
      <c r="O24">
        <v>17.16</v>
      </c>
      <c r="P24">
        <v>3.9</v>
      </c>
      <c r="Q24">
        <v>7.57</v>
      </c>
      <c r="R24">
        <v>15.88</v>
      </c>
      <c r="S24" s="1">
        <v>7835.5992000000006</v>
      </c>
      <c r="T24" s="1">
        <v>91.03</v>
      </c>
    </row>
    <row r="25" spans="1:20">
      <c r="A25" s="1" t="s">
        <v>21</v>
      </c>
      <c r="B25">
        <v>2019</v>
      </c>
      <c r="C25">
        <v>99.799000000000007</v>
      </c>
      <c r="D25">
        <v>8.6850000000000005</v>
      </c>
      <c r="E25">
        <v>13.156000000000001</v>
      </c>
      <c r="F25">
        <v>36.223999999999997</v>
      </c>
      <c r="G25">
        <v>45.341000000000001</v>
      </c>
      <c r="H25" s="3">
        <v>472897988852</v>
      </c>
      <c r="I25">
        <v>4619.3999999999996</v>
      </c>
      <c r="J25">
        <v>0.28494999999999998</v>
      </c>
      <c r="K25">
        <v>62.97</v>
      </c>
      <c r="L25">
        <v>29.72</v>
      </c>
      <c r="M25">
        <v>0.3</v>
      </c>
      <c r="N25">
        <v>43.52</v>
      </c>
      <c r="O25">
        <v>19.45</v>
      </c>
      <c r="P25">
        <v>4.25</v>
      </c>
      <c r="Q25">
        <v>9.75</v>
      </c>
      <c r="R25">
        <v>24.84</v>
      </c>
      <c r="S25" s="1">
        <v>8881.259</v>
      </c>
      <c r="T25" s="1">
        <v>112.14</v>
      </c>
    </row>
    <row r="26" spans="1:20">
      <c r="A26" s="1" t="s">
        <v>21</v>
      </c>
      <c r="B26">
        <v>2020</v>
      </c>
      <c r="C26">
        <v>91.254999999999995</v>
      </c>
      <c r="D26">
        <v>7.9080000000000004</v>
      </c>
      <c r="E26">
        <v>10.465999999999999</v>
      </c>
      <c r="F26">
        <v>36.073</v>
      </c>
      <c r="G26">
        <v>40.097999999999999</v>
      </c>
      <c r="H26" s="3">
        <v>447544069854</v>
      </c>
      <c r="I26">
        <v>3727.2</v>
      </c>
      <c r="J26">
        <v>0.2747</v>
      </c>
      <c r="K26">
        <v>57.88</v>
      </c>
      <c r="L26">
        <v>30.41</v>
      </c>
      <c r="M26">
        <v>0.27</v>
      </c>
      <c r="N26">
        <v>34.43</v>
      </c>
      <c r="O26">
        <v>23.45</v>
      </c>
      <c r="P26">
        <v>5.1100000000000003</v>
      </c>
      <c r="Q26">
        <v>12.81</v>
      </c>
      <c r="R26">
        <v>24.75</v>
      </c>
      <c r="S26" s="1">
        <v>10707.739</v>
      </c>
      <c r="T26" s="1">
        <v>111.74000000000001</v>
      </c>
    </row>
    <row r="27" spans="1:20">
      <c r="A27" s="1" t="s">
        <v>21</v>
      </c>
      <c r="B27">
        <v>2021</v>
      </c>
      <c r="C27">
        <v>94.927999999999997</v>
      </c>
      <c r="D27">
        <v>8.2040000000000006</v>
      </c>
      <c r="E27">
        <v>11.762</v>
      </c>
      <c r="F27">
        <v>36.280999999999999</v>
      </c>
      <c r="G27">
        <v>42.152000000000001</v>
      </c>
      <c r="H27" s="3">
        <v>474995824355</v>
      </c>
      <c r="I27">
        <v>3608.7</v>
      </c>
      <c r="J27">
        <v>0.2848</v>
      </c>
      <c r="K27">
        <v>73.08</v>
      </c>
      <c r="L27">
        <v>26.32</v>
      </c>
      <c r="M27">
        <v>0.42</v>
      </c>
      <c r="N27">
        <v>50.33</v>
      </c>
      <c r="O27">
        <v>22.75</v>
      </c>
      <c r="P27">
        <v>5.62</v>
      </c>
      <c r="Q27">
        <v>12</v>
      </c>
      <c r="R27">
        <v>53.55</v>
      </c>
      <c r="S27" s="1">
        <v>10388.105</v>
      </c>
      <c r="T27" s="1">
        <v>122.15</v>
      </c>
    </row>
    <row r="28" spans="1:20">
      <c r="A28" s="1" t="s">
        <v>21</v>
      </c>
      <c r="B28">
        <v>2022</v>
      </c>
      <c r="C28">
        <v>88.915000000000006</v>
      </c>
      <c r="D28">
        <v>7.6379999999999999</v>
      </c>
      <c r="E28">
        <v>11.903</v>
      </c>
      <c r="F28">
        <v>31.173999999999999</v>
      </c>
      <c r="G28">
        <v>41.466000000000001</v>
      </c>
      <c r="H28" s="3">
        <v>489678394377</v>
      </c>
      <c r="I28">
        <v>4082.8</v>
      </c>
      <c r="J28">
        <v>0.39629999999999999</v>
      </c>
      <c r="K28">
        <v>68.31</v>
      </c>
      <c r="L28">
        <v>26.02</v>
      </c>
      <c r="M28">
        <v>0.27</v>
      </c>
      <c r="N28">
        <v>43.88</v>
      </c>
      <c r="O28">
        <v>24.43</v>
      </c>
      <c r="P28">
        <v>6.88</v>
      </c>
      <c r="Q28">
        <v>12.35</v>
      </c>
      <c r="R28">
        <v>80.87</v>
      </c>
      <c r="S28" s="1">
        <v>11155.2266</v>
      </c>
      <c r="T28" s="1">
        <v>118.75999999999999</v>
      </c>
    </row>
    <row r="29" spans="1:20">
      <c r="A29" s="1" t="s">
        <v>21</v>
      </c>
      <c r="B29">
        <v>2023</v>
      </c>
      <c r="C29">
        <v>84.703000000000003</v>
      </c>
      <c r="D29">
        <v>7.2320000000000002</v>
      </c>
      <c r="E29">
        <v>10.430999999999999</v>
      </c>
      <c r="F29">
        <v>29.155000000000001</v>
      </c>
      <c r="G29">
        <v>41.188000000000002</v>
      </c>
      <c r="H29" s="3">
        <v>489678394377</v>
      </c>
      <c r="I29">
        <v>3642.8</v>
      </c>
      <c r="J29">
        <v>0.40639999999999998</v>
      </c>
      <c r="K29">
        <v>60.39</v>
      </c>
      <c r="L29">
        <v>21.74</v>
      </c>
      <c r="M29">
        <v>0.4</v>
      </c>
      <c r="N29">
        <v>32.93</v>
      </c>
      <c r="O29">
        <v>27.46</v>
      </c>
      <c r="P29">
        <v>7.83</v>
      </c>
      <c r="Q29">
        <v>15.44</v>
      </c>
      <c r="R29">
        <v>85.3</v>
      </c>
      <c r="S29" s="1">
        <v>12538.7852</v>
      </c>
      <c r="T29" s="1">
        <v>109.59</v>
      </c>
    </row>
    <row r="30" spans="1:20">
      <c r="A30" s="1" t="s">
        <v>22</v>
      </c>
      <c r="B30">
        <v>2010</v>
      </c>
      <c r="C30">
        <v>47.816000000000003</v>
      </c>
      <c r="D30">
        <v>6.4290000000000003</v>
      </c>
      <c r="E30">
        <v>29.294</v>
      </c>
      <c r="F30">
        <v>5.3860000000000001</v>
      </c>
      <c r="G30">
        <v>10.912000000000001</v>
      </c>
      <c r="H30" s="3">
        <v>109045208364</v>
      </c>
      <c r="I30">
        <v>2846</v>
      </c>
      <c r="J30">
        <v>8.2150000000000001E-2</v>
      </c>
      <c r="K30">
        <v>21.01</v>
      </c>
      <c r="L30">
        <v>24.92</v>
      </c>
      <c r="M30">
        <v>5.03</v>
      </c>
      <c r="N30">
        <v>15.25</v>
      </c>
      <c r="O30">
        <v>5.76</v>
      </c>
      <c r="P30">
        <v>0.01</v>
      </c>
      <c r="Q30">
        <v>0.68</v>
      </c>
      <c r="R30">
        <v>14.38</v>
      </c>
      <c r="S30" s="1">
        <v>2630.1311999999998</v>
      </c>
      <c r="T30" s="1">
        <v>51.690000000000005</v>
      </c>
    </row>
    <row r="31" spans="1:20">
      <c r="A31" s="1" t="s">
        <v>22</v>
      </c>
      <c r="B31">
        <v>2011</v>
      </c>
      <c r="C31">
        <v>53.12</v>
      </c>
      <c r="D31">
        <v>7.1980000000000004</v>
      </c>
      <c r="E31">
        <v>34.481000000000002</v>
      </c>
      <c r="F31">
        <v>6.1509999999999998</v>
      </c>
      <c r="G31">
        <v>10.106999999999999</v>
      </c>
      <c r="H31" s="3">
        <v>109435363210</v>
      </c>
      <c r="I31">
        <v>3362</v>
      </c>
      <c r="J31">
        <v>8.5000000000000006E-2</v>
      </c>
      <c r="K31">
        <v>20.2</v>
      </c>
      <c r="L31">
        <v>29.76</v>
      </c>
      <c r="M31">
        <v>2.87</v>
      </c>
      <c r="N31">
        <v>16.309999999999999</v>
      </c>
      <c r="O31">
        <v>3.89</v>
      </c>
      <c r="P31">
        <v>0.1</v>
      </c>
      <c r="Q31">
        <v>0.86</v>
      </c>
      <c r="R31">
        <v>13.07</v>
      </c>
      <c r="S31" s="1">
        <v>1776.2518</v>
      </c>
      <c r="T31" s="1">
        <v>53.85</v>
      </c>
    </row>
    <row r="32" spans="1:20">
      <c r="A32" s="1" t="s">
        <v>22</v>
      </c>
      <c r="B32">
        <v>2012</v>
      </c>
      <c r="C32">
        <v>48.277000000000001</v>
      </c>
      <c r="D32">
        <v>6.5979999999999999</v>
      </c>
      <c r="E32">
        <v>29.411999999999999</v>
      </c>
      <c r="F32">
        <v>5.7530000000000001</v>
      </c>
      <c r="G32">
        <v>10.627000000000001</v>
      </c>
      <c r="H32" s="3">
        <v>110261509885</v>
      </c>
      <c r="I32">
        <v>2506</v>
      </c>
      <c r="J32">
        <v>9.0049999999999991E-2</v>
      </c>
      <c r="K32">
        <v>21.03</v>
      </c>
      <c r="L32">
        <v>25.43</v>
      </c>
      <c r="M32">
        <v>3.18</v>
      </c>
      <c r="N32">
        <v>15.78</v>
      </c>
      <c r="O32">
        <v>5.25</v>
      </c>
      <c r="P32">
        <v>0.78</v>
      </c>
      <c r="Q32">
        <v>1.22</v>
      </c>
      <c r="R32">
        <v>7.33</v>
      </c>
      <c r="S32" s="1">
        <v>2397.2550000000001</v>
      </c>
      <c r="T32" s="1">
        <v>51.71</v>
      </c>
    </row>
    <row r="33" spans="1:20">
      <c r="A33" s="1" t="s">
        <v>22</v>
      </c>
      <c r="B33">
        <v>2013</v>
      </c>
      <c r="C33">
        <v>42.582999999999998</v>
      </c>
      <c r="D33">
        <v>5.8620000000000001</v>
      </c>
      <c r="E33">
        <v>24.997</v>
      </c>
      <c r="F33">
        <v>5.6120000000000001</v>
      </c>
      <c r="G33">
        <v>9.5570000000000004</v>
      </c>
      <c r="H33" s="3">
        <v>109643527181</v>
      </c>
      <c r="I33">
        <v>1618</v>
      </c>
      <c r="J33">
        <v>9.0299999999999991E-2</v>
      </c>
      <c r="K33">
        <v>21.08</v>
      </c>
      <c r="L33">
        <v>21.94</v>
      </c>
      <c r="M33">
        <v>4.04</v>
      </c>
      <c r="N33">
        <v>14.17</v>
      </c>
      <c r="O33">
        <v>6.91</v>
      </c>
      <c r="P33">
        <v>1.39</v>
      </c>
      <c r="Q33">
        <v>1.37</v>
      </c>
      <c r="R33">
        <v>4.45</v>
      </c>
      <c r="S33" s="1">
        <v>3155.2442000000001</v>
      </c>
      <c r="T33" s="1">
        <v>49.929999999999993</v>
      </c>
    </row>
    <row r="34" spans="1:20">
      <c r="A34" s="1" t="s">
        <v>22</v>
      </c>
      <c r="B34">
        <v>2014</v>
      </c>
      <c r="C34">
        <v>45.168999999999997</v>
      </c>
      <c r="D34">
        <v>6.2530000000000001</v>
      </c>
      <c r="E34">
        <v>26.579000000000001</v>
      </c>
      <c r="F34">
        <v>5.6020000000000003</v>
      </c>
      <c r="G34">
        <v>10.561999999999999</v>
      </c>
      <c r="H34" s="3">
        <v>110703533681</v>
      </c>
      <c r="I34">
        <v>1461</v>
      </c>
      <c r="J34">
        <v>8.6349999999999996E-2</v>
      </c>
      <c r="K34">
        <v>23.26</v>
      </c>
      <c r="L34">
        <v>23.66</v>
      </c>
      <c r="M34">
        <v>4.5999999999999996</v>
      </c>
      <c r="N34">
        <v>15.87</v>
      </c>
      <c r="O34">
        <v>7.39</v>
      </c>
      <c r="P34">
        <v>1.26</v>
      </c>
      <c r="Q34">
        <v>1.33</v>
      </c>
      <c r="R34">
        <v>5.96</v>
      </c>
      <c r="S34" s="1">
        <v>3374.4218000000001</v>
      </c>
      <c r="T34" s="1">
        <v>54.31</v>
      </c>
    </row>
    <row r="35" spans="1:20">
      <c r="A35" s="1" t="s">
        <v>22</v>
      </c>
      <c r="B35">
        <v>2015</v>
      </c>
      <c r="C35">
        <v>48.127000000000002</v>
      </c>
      <c r="D35">
        <v>6.7050000000000001</v>
      </c>
      <c r="E35">
        <v>27.678000000000001</v>
      </c>
      <c r="F35">
        <v>5.94</v>
      </c>
      <c r="G35">
        <v>11.488</v>
      </c>
      <c r="H35" s="3">
        <v>114498611934</v>
      </c>
      <c r="I35">
        <v>1137</v>
      </c>
      <c r="J35">
        <v>9.4950000000000007E-2</v>
      </c>
      <c r="K35">
        <v>24.13</v>
      </c>
      <c r="L35">
        <v>24.58</v>
      </c>
      <c r="M35">
        <v>5.65</v>
      </c>
      <c r="N35">
        <v>15.38</v>
      </c>
      <c r="O35">
        <v>8.75</v>
      </c>
      <c r="P35">
        <v>1.38</v>
      </c>
      <c r="Q35">
        <v>1.45</v>
      </c>
      <c r="R35">
        <v>7.68</v>
      </c>
      <c r="S35" s="1">
        <v>3995.4250000000002</v>
      </c>
      <c r="T35" s="1">
        <v>57.459999999999994</v>
      </c>
    </row>
    <row r="36" spans="1:20">
      <c r="A36" s="1" t="s">
        <v>22</v>
      </c>
      <c r="B36">
        <v>2016</v>
      </c>
      <c r="C36">
        <v>45.344000000000001</v>
      </c>
      <c r="D36">
        <v>6.3620000000000001</v>
      </c>
      <c r="E36">
        <v>24.155000000000001</v>
      </c>
      <c r="F36">
        <v>5.9450000000000003</v>
      </c>
      <c r="G36">
        <v>11.885999999999999</v>
      </c>
      <c r="H36" s="3">
        <v>117979077002</v>
      </c>
      <c r="I36">
        <v>859</v>
      </c>
      <c r="J36">
        <v>9.4700000000000006E-2</v>
      </c>
      <c r="K36">
        <v>22.82</v>
      </c>
      <c r="L36">
        <v>21.71</v>
      </c>
      <c r="M36">
        <v>3.88</v>
      </c>
      <c r="N36">
        <v>15.78</v>
      </c>
      <c r="O36">
        <v>7.04</v>
      </c>
      <c r="P36">
        <v>1.39</v>
      </c>
      <c r="Q36">
        <v>1.42</v>
      </c>
      <c r="R36">
        <v>5.35</v>
      </c>
      <c r="S36" s="1">
        <v>3214.6048000000001</v>
      </c>
      <c r="T36" s="1">
        <v>51.57</v>
      </c>
    </row>
    <row r="37" spans="1:20">
      <c r="A37" s="1" t="s">
        <v>22</v>
      </c>
      <c r="B37">
        <v>2017</v>
      </c>
      <c r="C37">
        <v>47.445999999999998</v>
      </c>
      <c r="D37">
        <v>6.7060000000000004</v>
      </c>
      <c r="E37">
        <v>25.792000000000002</v>
      </c>
      <c r="F37">
        <v>6.0529999999999999</v>
      </c>
      <c r="G37">
        <v>12.162000000000001</v>
      </c>
      <c r="H37" s="3">
        <v>121237951710</v>
      </c>
      <c r="I37">
        <v>960.40099999999995</v>
      </c>
      <c r="J37">
        <v>9.69E-2</v>
      </c>
      <c r="K37">
        <v>21.68</v>
      </c>
      <c r="L37">
        <v>23.16</v>
      </c>
      <c r="M37">
        <v>2.83</v>
      </c>
      <c r="N37">
        <v>15.55</v>
      </c>
      <c r="O37">
        <v>6.13</v>
      </c>
      <c r="P37">
        <v>1.4</v>
      </c>
      <c r="Q37">
        <v>1.5</v>
      </c>
      <c r="R37">
        <v>5.83</v>
      </c>
      <c r="S37" s="1">
        <v>2799.0805999999998</v>
      </c>
      <c r="T37" s="1">
        <v>50.970000000000006</v>
      </c>
    </row>
    <row r="38" spans="1:20">
      <c r="A38" s="1" t="s">
        <v>22</v>
      </c>
      <c r="B38">
        <v>2018</v>
      </c>
      <c r="C38">
        <v>43.503</v>
      </c>
      <c r="D38">
        <v>6.1929999999999996</v>
      </c>
      <c r="E38">
        <v>22.113</v>
      </c>
      <c r="F38">
        <v>5.7969999999999997</v>
      </c>
      <c r="G38">
        <v>12.372</v>
      </c>
      <c r="H38" s="3">
        <v>124492855771</v>
      </c>
      <c r="I38">
        <v>897.07899999999995</v>
      </c>
      <c r="J38">
        <v>9.920000000000001E-2</v>
      </c>
      <c r="K38">
        <v>25.51</v>
      </c>
      <c r="L38">
        <v>21</v>
      </c>
      <c r="M38">
        <v>5.15</v>
      </c>
      <c r="N38">
        <v>16.13</v>
      </c>
      <c r="O38">
        <v>9.3800000000000008</v>
      </c>
      <c r="P38">
        <v>1.34</v>
      </c>
      <c r="Q38">
        <v>1.32</v>
      </c>
      <c r="R38">
        <v>15.88</v>
      </c>
      <c r="S38" s="1">
        <v>4283.0956000000006</v>
      </c>
      <c r="T38" s="1">
        <v>55.890000000000008</v>
      </c>
    </row>
    <row r="39" spans="1:20">
      <c r="A39" s="1" t="s">
        <v>22</v>
      </c>
      <c r="B39">
        <v>2019</v>
      </c>
      <c r="C39">
        <v>42.195</v>
      </c>
      <c r="D39">
        <v>6.0490000000000004</v>
      </c>
      <c r="E39">
        <v>20.806000000000001</v>
      </c>
      <c r="F39">
        <v>5.266</v>
      </c>
      <c r="G39">
        <v>12.901</v>
      </c>
      <c r="H39" s="3">
        <v>129520075495</v>
      </c>
      <c r="I39">
        <v>620.28099999999995</v>
      </c>
      <c r="J39">
        <v>9.7750000000000004E-2</v>
      </c>
      <c r="K39">
        <v>24.05</v>
      </c>
      <c r="L39">
        <v>19.670000000000002</v>
      </c>
      <c r="M39">
        <v>2.93</v>
      </c>
      <c r="N39">
        <v>16.559999999999999</v>
      </c>
      <c r="O39">
        <v>7.49</v>
      </c>
      <c r="P39">
        <v>1.42</v>
      </c>
      <c r="Q39">
        <v>1.32</v>
      </c>
      <c r="R39">
        <v>24.84</v>
      </c>
      <c r="S39" s="1">
        <v>3420.0838000000003</v>
      </c>
      <c r="T39" s="1">
        <v>51.21</v>
      </c>
    </row>
    <row r="40" spans="1:20">
      <c r="A40" s="1" t="s">
        <v>22</v>
      </c>
      <c r="B40">
        <v>2020</v>
      </c>
      <c r="C40">
        <v>36.570999999999998</v>
      </c>
      <c r="D40">
        <v>5.274</v>
      </c>
      <c r="E40">
        <v>16.204000000000001</v>
      </c>
      <c r="F40">
        <v>5.31</v>
      </c>
      <c r="G40">
        <v>11.944000000000001</v>
      </c>
      <c r="H40" s="3">
        <v>124392792956</v>
      </c>
      <c r="I40">
        <v>661.03399999999999</v>
      </c>
      <c r="J40">
        <v>9.8949999999999996E-2</v>
      </c>
      <c r="K40">
        <v>24.1</v>
      </c>
      <c r="L40">
        <v>16.04</v>
      </c>
      <c r="M40">
        <v>2.82</v>
      </c>
      <c r="N40">
        <v>16.63</v>
      </c>
      <c r="O40">
        <v>7.47</v>
      </c>
      <c r="P40">
        <v>1.47</v>
      </c>
      <c r="Q40">
        <v>1.48</v>
      </c>
      <c r="R40">
        <v>24.75</v>
      </c>
      <c r="S40" s="1">
        <v>3410.9513999999999</v>
      </c>
      <c r="T40" s="1">
        <v>47.61</v>
      </c>
    </row>
    <row r="41" spans="1:20">
      <c r="A41" s="1" t="s">
        <v>22</v>
      </c>
      <c r="B41">
        <v>2021</v>
      </c>
      <c r="C41">
        <v>42.365000000000002</v>
      </c>
      <c r="D41">
        <v>6.16</v>
      </c>
      <c r="E41">
        <v>20.422999999999998</v>
      </c>
      <c r="F41">
        <v>6.258</v>
      </c>
      <c r="G41">
        <v>12.742000000000001</v>
      </c>
      <c r="H41" s="3">
        <v>133889804025</v>
      </c>
      <c r="I41">
        <v>914.25699999999995</v>
      </c>
      <c r="J41">
        <v>0.10575000000000001</v>
      </c>
      <c r="K41">
        <v>26.8</v>
      </c>
      <c r="L41">
        <v>20.420000000000002</v>
      </c>
      <c r="M41">
        <v>4.82</v>
      </c>
      <c r="N41">
        <v>16.489999999999998</v>
      </c>
      <c r="O41">
        <v>10.31</v>
      </c>
      <c r="P41">
        <v>1.47</v>
      </c>
      <c r="Q41">
        <v>1.43</v>
      </c>
      <c r="R41">
        <v>53.55</v>
      </c>
      <c r="S41" s="1">
        <v>4707.7521999999999</v>
      </c>
      <c r="T41" s="1">
        <v>57.53</v>
      </c>
    </row>
    <row r="42" spans="1:20">
      <c r="A42" s="1" t="s">
        <v>22</v>
      </c>
      <c r="B42">
        <v>2022</v>
      </c>
      <c r="C42">
        <v>46.932000000000002</v>
      </c>
      <c r="D42">
        <v>6.8760000000000003</v>
      </c>
      <c r="E42">
        <v>25.068000000000001</v>
      </c>
      <c r="F42">
        <v>5.0179999999999998</v>
      </c>
      <c r="G42">
        <v>13.385</v>
      </c>
      <c r="H42" s="3">
        <v>138390156500</v>
      </c>
      <c r="I42">
        <v>1427.356</v>
      </c>
      <c r="J42">
        <v>0.11199999999999999</v>
      </c>
      <c r="K42">
        <v>26.09</v>
      </c>
      <c r="L42">
        <v>24.19</v>
      </c>
      <c r="M42">
        <v>3.8</v>
      </c>
      <c r="N42">
        <v>16.46</v>
      </c>
      <c r="O42">
        <v>9.6300000000000008</v>
      </c>
      <c r="P42">
        <v>2.09</v>
      </c>
      <c r="Q42">
        <v>1.5</v>
      </c>
      <c r="R42">
        <v>80.87</v>
      </c>
      <c r="S42" s="1">
        <v>4397.2506000000003</v>
      </c>
      <c r="T42" s="1">
        <v>59.910000000000004</v>
      </c>
    </row>
    <row r="43" spans="1:20">
      <c r="A43" s="1" t="s">
        <v>22</v>
      </c>
      <c r="B43">
        <v>2023</v>
      </c>
      <c r="C43">
        <v>34.500999999999998</v>
      </c>
      <c r="D43">
        <v>5.077</v>
      </c>
      <c r="E43">
        <v>13.961</v>
      </c>
      <c r="F43">
        <v>4.6779999999999999</v>
      </c>
      <c r="G43">
        <v>13.17</v>
      </c>
      <c r="H43" s="3">
        <v>138390156500</v>
      </c>
      <c r="I43">
        <v>644.64400000000001</v>
      </c>
      <c r="J43">
        <v>0.11649999999999999</v>
      </c>
      <c r="K43">
        <v>26.21</v>
      </c>
      <c r="L43">
        <v>13.87</v>
      </c>
      <c r="M43">
        <v>3.08</v>
      </c>
      <c r="N43">
        <v>16.16</v>
      </c>
      <c r="O43">
        <v>10.050000000000001</v>
      </c>
      <c r="P43">
        <v>3.52</v>
      </c>
      <c r="Q43">
        <v>1.58</v>
      </c>
      <c r="R43">
        <v>85.3</v>
      </c>
      <c r="S43" s="1">
        <v>4589.0309999999999</v>
      </c>
      <c r="T43" s="1">
        <v>50.129999999999995</v>
      </c>
    </row>
    <row r="44" spans="1:20">
      <c r="A44" s="1" t="s">
        <v>23</v>
      </c>
      <c r="B44">
        <v>2010</v>
      </c>
      <c r="C44">
        <v>20.978000000000002</v>
      </c>
      <c r="D44">
        <v>4.8769999999999998</v>
      </c>
      <c r="E44">
        <v>2.738</v>
      </c>
      <c r="F44">
        <v>5.7119999999999997</v>
      </c>
      <c r="G44">
        <v>10.561</v>
      </c>
      <c r="H44" s="3">
        <v>81303793822</v>
      </c>
      <c r="I44">
        <v>1227</v>
      </c>
      <c r="J44">
        <v>0.1152</v>
      </c>
      <c r="K44">
        <v>9.3000000000000007</v>
      </c>
      <c r="L44">
        <v>5.49</v>
      </c>
      <c r="M44">
        <v>9.1300000000000008</v>
      </c>
      <c r="N44">
        <v>0</v>
      </c>
      <c r="O44">
        <v>9.3000000000000007</v>
      </c>
      <c r="P44">
        <v>0</v>
      </c>
      <c r="Q44">
        <v>0.14000000000000001</v>
      </c>
      <c r="R44">
        <v>14.38</v>
      </c>
      <c r="S44" s="1">
        <v>4246.5660000000007</v>
      </c>
      <c r="T44" s="1">
        <v>24.090000000000003</v>
      </c>
    </row>
    <row r="45" spans="1:20">
      <c r="A45" s="1" t="s">
        <v>23</v>
      </c>
      <c r="B45">
        <v>2011</v>
      </c>
      <c r="C45">
        <v>20.614999999999998</v>
      </c>
      <c r="D45">
        <v>4.8159999999999998</v>
      </c>
      <c r="E45">
        <v>2.794</v>
      </c>
      <c r="F45">
        <v>5.5640000000000001</v>
      </c>
      <c r="G45">
        <v>10.42</v>
      </c>
      <c r="H45" s="3">
        <v>82302805353</v>
      </c>
      <c r="I45">
        <v>1206</v>
      </c>
      <c r="J45">
        <v>0.11415</v>
      </c>
      <c r="K45">
        <v>5.28</v>
      </c>
      <c r="L45">
        <v>5.95</v>
      </c>
      <c r="M45">
        <v>5.03</v>
      </c>
      <c r="N45">
        <v>0</v>
      </c>
      <c r="O45">
        <v>5.28</v>
      </c>
      <c r="P45">
        <v>0</v>
      </c>
      <c r="Q45">
        <v>0.2</v>
      </c>
      <c r="R45">
        <v>13.07</v>
      </c>
      <c r="S45" s="1">
        <v>2410.9536000000003</v>
      </c>
      <c r="T45" s="1">
        <v>16.510000000000002</v>
      </c>
    </row>
    <row r="46" spans="1:20">
      <c r="A46" s="1" t="s">
        <v>23</v>
      </c>
      <c r="B46">
        <v>2012</v>
      </c>
      <c r="C46">
        <v>19.05</v>
      </c>
      <c r="D46">
        <v>4.4729999999999999</v>
      </c>
      <c r="E46">
        <v>2.484</v>
      </c>
      <c r="F46">
        <v>5.1950000000000003</v>
      </c>
      <c r="G46">
        <v>9.7100000000000009</v>
      </c>
      <c r="H46" s="3">
        <v>80383800465</v>
      </c>
      <c r="I46">
        <v>948.8</v>
      </c>
      <c r="J46">
        <v>0.12959999999999999</v>
      </c>
      <c r="K46">
        <v>5.26</v>
      </c>
      <c r="L46">
        <v>5.31</v>
      </c>
      <c r="M46">
        <v>4.84</v>
      </c>
      <c r="N46">
        <v>0</v>
      </c>
      <c r="O46">
        <v>5.26</v>
      </c>
      <c r="P46">
        <v>0</v>
      </c>
      <c r="Q46">
        <v>0.33</v>
      </c>
      <c r="R46">
        <v>7.33</v>
      </c>
      <c r="S46" s="1">
        <v>2401.8211999999999</v>
      </c>
      <c r="T46" s="1">
        <v>15.83</v>
      </c>
    </row>
    <row r="47" spans="1:20">
      <c r="A47" s="1" t="s">
        <v>23</v>
      </c>
      <c r="B47">
        <v>2013</v>
      </c>
      <c r="C47">
        <v>18.401</v>
      </c>
      <c r="D47">
        <v>4.3369999999999997</v>
      </c>
      <c r="E47">
        <v>2.6779999999999999</v>
      </c>
      <c r="F47">
        <v>4.9119999999999999</v>
      </c>
      <c r="G47">
        <v>9.0730000000000004</v>
      </c>
      <c r="H47" s="3">
        <v>80064089923</v>
      </c>
      <c r="I47">
        <v>1251</v>
      </c>
      <c r="J47">
        <v>0.1361</v>
      </c>
      <c r="K47">
        <v>9.2799999999999994</v>
      </c>
      <c r="L47">
        <v>4.66</v>
      </c>
      <c r="M47">
        <v>8.6199999999999992</v>
      </c>
      <c r="N47">
        <v>0</v>
      </c>
      <c r="O47">
        <v>9.2799999999999994</v>
      </c>
      <c r="P47">
        <v>0.01</v>
      </c>
      <c r="Q47">
        <v>0.52</v>
      </c>
      <c r="R47">
        <v>4.45</v>
      </c>
      <c r="S47" s="1">
        <v>4237.4335999999994</v>
      </c>
      <c r="T47" s="1">
        <v>23.22</v>
      </c>
    </row>
    <row r="48" spans="1:20">
      <c r="A48" s="1" t="s">
        <v>23</v>
      </c>
      <c r="B48">
        <v>2014</v>
      </c>
      <c r="C48">
        <v>17.649999999999999</v>
      </c>
      <c r="D48">
        <v>4.1829999999999998</v>
      </c>
      <c r="E48">
        <v>2.57</v>
      </c>
      <c r="F48">
        <v>4.3049999999999997</v>
      </c>
      <c r="G48">
        <v>8.9600000000000009</v>
      </c>
      <c r="H48" s="3">
        <v>79720242860</v>
      </c>
      <c r="I48">
        <v>1019.3</v>
      </c>
      <c r="J48">
        <v>0.1318</v>
      </c>
      <c r="K48">
        <v>9.94</v>
      </c>
      <c r="L48">
        <v>3.49</v>
      </c>
      <c r="M48">
        <v>9.01</v>
      </c>
      <c r="N48">
        <v>0</v>
      </c>
      <c r="O48">
        <v>9.94</v>
      </c>
      <c r="P48">
        <v>0.04</v>
      </c>
      <c r="Q48">
        <v>0.73</v>
      </c>
      <c r="R48">
        <v>5.96</v>
      </c>
      <c r="S48" s="1">
        <v>4538.8027999999995</v>
      </c>
      <c r="T48" s="1">
        <v>23.369999999999997</v>
      </c>
    </row>
    <row r="49" spans="1:20">
      <c r="A49" s="1" t="s">
        <v>23</v>
      </c>
      <c r="B49">
        <v>2015</v>
      </c>
      <c r="C49">
        <v>17.794</v>
      </c>
      <c r="D49">
        <v>4.2530000000000001</v>
      </c>
      <c r="E49">
        <v>2.3759999999999999</v>
      </c>
      <c r="F49">
        <v>4.4610000000000003</v>
      </c>
      <c r="G49">
        <v>9.3889999999999993</v>
      </c>
      <c r="H49" s="3">
        <v>81731110395</v>
      </c>
      <c r="I49">
        <v>1055.2</v>
      </c>
      <c r="J49">
        <v>0.13145000000000001</v>
      </c>
      <c r="K49">
        <v>7.52</v>
      </c>
      <c r="L49">
        <v>3.72</v>
      </c>
      <c r="M49">
        <v>6.39</v>
      </c>
      <c r="N49">
        <v>0</v>
      </c>
      <c r="O49">
        <v>7.52</v>
      </c>
      <c r="P49">
        <v>0.06</v>
      </c>
      <c r="Q49">
        <v>0.8</v>
      </c>
      <c r="R49">
        <v>7.68</v>
      </c>
      <c r="S49" s="1">
        <v>3433.7824000000001</v>
      </c>
      <c r="T49" s="1">
        <v>18.759999999999998</v>
      </c>
    </row>
    <row r="50" spans="1:20">
      <c r="A50" s="1" t="s">
        <v>23</v>
      </c>
      <c r="B50">
        <v>2016</v>
      </c>
      <c r="C50">
        <v>18.079000000000001</v>
      </c>
      <c r="D50">
        <v>4.3710000000000004</v>
      </c>
      <c r="E50">
        <v>2.5609999999999999</v>
      </c>
      <c r="F50">
        <v>4.7290000000000001</v>
      </c>
      <c r="G50">
        <v>9.34</v>
      </c>
      <c r="H50" s="3">
        <v>84640158587</v>
      </c>
      <c r="I50">
        <v>1118.9000000000001</v>
      </c>
      <c r="J50">
        <v>0.1321</v>
      </c>
      <c r="K50">
        <v>8.36</v>
      </c>
      <c r="L50">
        <v>4.24</v>
      </c>
      <c r="M50">
        <v>6.85</v>
      </c>
      <c r="N50">
        <v>0</v>
      </c>
      <c r="O50">
        <v>8.36</v>
      </c>
      <c r="P50">
        <v>7.0000000000000007E-2</v>
      </c>
      <c r="Q50">
        <v>1.01</v>
      </c>
      <c r="R50">
        <v>5.35</v>
      </c>
      <c r="S50" s="1">
        <v>3817.3431999999998</v>
      </c>
      <c r="T50" s="1">
        <v>20.96</v>
      </c>
    </row>
    <row r="51" spans="1:20">
      <c r="A51" s="1" t="s">
        <v>23</v>
      </c>
      <c r="B51">
        <v>2017</v>
      </c>
      <c r="C51">
        <v>18.713000000000001</v>
      </c>
      <c r="D51">
        <v>4.5869999999999997</v>
      </c>
      <c r="E51">
        <v>1.5509999999999999</v>
      </c>
      <c r="F51">
        <v>5.4320000000000004</v>
      </c>
      <c r="G51">
        <v>9.9819999999999993</v>
      </c>
      <c r="H51" s="3">
        <v>87528490789</v>
      </c>
      <c r="I51">
        <v>669.8</v>
      </c>
      <c r="J51">
        <v>0.1216</v>
      </c>
      <c r="K51">
        <v>7.12</v>
      </c>
      <c r="L51">
        <v>4.6500000000000004</v>
      </c>
      <c r="M51">
        <v>5.31</v>
      </c>
      <c r="N51">
        <v>0</v>
      </c>
      <c r="O51">
        <v>7.12</v>
      </c>
      <c r="P51">
        <v>0.08</v>
      </c>
      <c r="Q51">
        <v>1.2</v>
      </c>
      <c r="R51">
        <v>5.83</v>
      </c>
      <c r="S51" s="1">
        <v>3251.1343999999999</v>
      </c>
      <c r="T51" s="1">
        <v>18.89</v>
      </c>
    </row>
    <row r="52" spans="1:20">
      <c r="A52" s="1" t="s">
        <v>23</v>
      </c>
      <c r="B52">
        <v>2018</v>
      </c>
      <c r="C52">
        <v>17.695</v>
      </c>
      <c r="D52">
        <v>4.3959999999999999</v>
      </c>
      <c r="E52">
        <v>1.4490000000000001</v>
      </c>
      <c r="F52">
        <v>5.0419999999999998</v>
      </c>
      <c r="G52">
        <v>9.5559999999999992</v>
      </c>
      <c r="H52" s="3">
        <v>89979865983</v>
      </c>
      <c r="I52">
        <v>564.20000000000005</v>
      </c>
      <c r="J52">
        <v>0.13159999999999999</v>
      </c>
      <c r="K52">
        <v>9.7799999999999994</v>
      </c>
      <c r="L52">
        <v>3.74</v>
      </c>
      <c r="M52">
        <v>7.7</v>
      </c>
      <c r="N52">
        <v>0</v>
      </c>
      <c r="O52">
        <v>9.7799999999999994</v>
      </c>
      <c r="P52">
        <v>7.0000000000000007E-2</v>
      </c>
      <c r="Q52">
        <v>1.34</v>
      </c>
      <c r="R52">
        <v>15.88</v>
      </c>
      <c r="S52" s="1">
        <v>4465.7435999999998</v>
      </c>
      <c r="T52" s="1">
        <v>23.299999999999997</v>
      </c>
    </row>
    <row r="53" spans="1:20">
      <c r="A53" s="1" t="s">
        <v>23</v>
      </c>
      <c r="B53">
        <v>2019</v>
      </c>
      <c r="C53">
        <v>17.82</v>
      </c>
      <c r="D53">
        <v>4.47</v>
      </c>
      <c r="E53">
        <v>1.6779999999999999</v>
      </c>
      <c r="F53">
        <v>5.2430000000000003</v>
      </c>
      <c r="G53">
        <v>9.2859999999999996</v>
      </c>
      <c r="H53" s="3">
        <v>93057982684</v>
      </c>
      <c r="I53">
        <v>768.2</v>
      </c>
      <c r="J53">
        <v>0.13224999999999998</v>
      </c>
      <c r="K53">
        <v>8.35</v>
      </c>
      <c r="L53">
        <v>4.3</v>
      </c>
      <c r="M53">
        <v>5.83</v>
      </c>
      <c r="N53">
        <v>0</v>
      </c>
      <c r="O53">
        <v>8.35</v>
      </c>
      <c r="P53">
        <v>0.08</v>
      </c>
      <c r="Q53">
        <v>1.47</v>
      </c>
      <c r="R53">
        <v>24.84</v>
      </c>
      <c r="S53" s="1">
        <v>3812.777</v>
      </c>
      <c r="T53" s="1">
        <v>21</v>
      </c>
    </row>
    <row r="54" spans="1:20">
      <c r="A54" s="1" t="s">
        <v>23</v>
      </c>
      <c r="B54">
        <v>2020</v>
      </c>
      <c r="C54">
        <v>16.87</v>
      </c>
      <c r="D54">
        <v>4.2670000000000003</v>
      </c>
      <c r="E54">
        <v>1.4239999999999999</v>
      </c>
      <c r="F54">
        <v>5.5209999999999999</v>
      </c>
      <c r="G54">
        <v>8.2710000000000008</v>
      </c>
      <c r="H54" s="3">
        <v>85073361985</v>
      </c>
      <c r="I54">
        <v>639.6</v>
      </c>
      <c r="J54">
        <v>0.13040000000000002</v>
      </c>
      <c r="K54">
        <v>8.5500000000000007</v>
      </c>
      <c r="L54">
        <v>4.68</v>
      </c>
      <c r="M54">
        <v>5.66</v>
      </c>
      <c r="N54">
        <v>0</v>
      </c>
      <c r="O54">
        <v>8.5500000000000007</v>
      </c>
      <c r="P54">
        <v>0.1</v>
      </c>
      <c r="Q54">
        <v>1.72</v>
      </c>
      <c r="R54">
        <v>24.75</v>
      </c>
      <c r="S54" s="1">
        <v>3904.1010000000006</v>
      </c>
      <c r="T54" s="1">
        <v>21.78</v>
      </c>
    </row>
    <row r="55" spans="1:20">
      <c r="A55" s="1" t="s">
        <v>23</v>
      </c>
      <c r="B55">
        <v>2021</v>
      </c>
      <c r="C55">
        <v>17.402999999999999</v>
      </c>
      <c r="D55">
        <v>4.4340000000000002</v>
      </c>
      <c r="E55">
        <v>1.6519999999999999</v>
      </c>
      <c r="F55">
        <v>5.351</v>
      </c>
      <c r="G55">
        <v>8.7249999999999996</v>
      </c>
      <c r="H55" s="3">
        <v>96194363488</v>
      </c>
      <c r="I55">
        <v>704.8</v>
      </c>
      <c r="J55">
        <v>0.13019999999999998</v>
      </c>
      <c r="K55">
        <v>10.53</v>
      </c>
      <c r="L55">
        <v>4.58</v>
      </c>
      <c r="M55">
        <v>7.13</v>
      </c>
      <c r="N55">
        <v>0</v>
      </c>
      <c r="O55">
        <v>10.53</v>
      </c>
      <c r="P55">
        <v>0.15</v>
      </c>
      <c r="Q55">
        <v>2.06</v>
      </c>
      <c r="R55">
        <v>53.55</v>
      </c>
      <c r="S55" s="1">
        <v>4808.2085999999999</v>
      </c>
      <c r="T55" s="1">
        <v>25.64</v>
      </c>
    </row>
    <row r="56" spans="1:20">
      <c r="A56" s="1" t="s">
        <v>23</v>
      </c>
      <c r="B56">
        <v>2022</v>
      </c>
      <c r="C56">
        <v>17.585000000000001</v>
      </c>
      <c r="D56">
        <v>4.5010000000000003</v>
      </c>
      <c r="E56">
        <v>1.613</v>
      </c>
      <c r="F56">
        <v>4.8849999999999998</v>
      </c>
      <c r="G56">
        <v>9.4689999999999994</v>
      </c>
      <c r="H56" s="3">
        <v>102284645672</v>
      </c>
      <c r="I56">
        <v>683.1</v>
      </c>
      <c r="J56">
        <v>0.14165</v>
      </c>
      <c r="K56">
        <v>8.9499999999999993</v>
      </c>
      <c r="L56">
        <v>5.15</v>
      </c>
      <c r="M56">
        <v>5.46</v>
      </c>
      <c r="N56">
        <v>0</v>
      </c>
      <c r="O56">
        <v>8.9499999999999993</v>
      </c>
      <c r="P56">
        <v>0.15</v>
      </c>
      <c r="Q56">
        <v>2.14</v>
      </c>
      <c r="R56">
        <v>80.87</v>
      </c>
      <c r="S56" s="1">
        <v>4086.7489999999998</v>
      </c>
      <c r="T56" s="1">
        <v>23.049999999999997</v>
      </c>
    </row>
    <row r="57" spans="1:20">
      <c r="A57" s="1" t="s">
        <v>23</v>
      </c>
      <c r="B57">
        <v>2023</v>
      </c>
      <c r="C57">
        <v>18.468</v>
      </c>
      <c r="D57">
        <v>4.74</v>
      </c>
      <c r="E57">
        <v>1.3779999999999999</v>
      </c>
      <c r="F57">
        <v>5.2140000000000004</v>
      </c>
      <c r="G57">
        <v>10.305999999999999</v>
      </c>
      <c r="H57" s="3">
        <v>102284645672</v>
      </c>
      <c r="I57">
        <v>637.70000000000005</v>
      </c>
      <c r="J57">
        <v>0.14799999999999999</v>
      </c>
      <c r="K57">
        <v>12.23</v>
      </c>
      <c r="L57">
        <v>5.21</v>
      </c>
      <c r="M57">
        <v>8.16</v>
      </c>
      <c r="N57">
        <v>0</v>
      </c>
      <c r="O57">
        <v>12.23</v>
      </c>
      <c r="P57">
        <v>0.41</v>
      </c>
      <c r="Q57">
        <v>2.59</v>
      </c>
      <c r="R57">
        <v>85.3</v>
      </c>
      <c r="S57" s="1">
        <v>5584.4625999999998</v>
      </c>
      <c r="T57" s="1">
        <v>29.67</v>
      </c>
    </row>
    <row r="58" spans="1:20">
      <c r="A58" s="1" t="s">
        <v>24</v>
      </c>
      <c r="B58">
        <v>2010</v>
      </c>
      <c r="C58">
        <v>8.0719999999999992</v>
      </c>
      <c r="D58">
        <v>7.157</v>
      </c>
      <c r="E58">
        <v>7.0999999999999994E-2</v>
      </c>
      <c r="F58">
        <v>1E-3</v>
      </c>
      <c r="G58">
        <v>7.41</v>
      </c>
      <c r="H58" s="3">
        <v>27285556934</v>
      </c>
      <c r="I58">
        <v>18</v>
      </c>
      <c r="J58">
        <v>0.19395000000000001</v>
      </c>
      <c r="K58">
        <v>0.08</v>
      </c>
      <c r="L58">
        <v>5.25</v>
      </c>
      <c r="M58">
        <v>0</v>
      </c>
      <c r="N58">
        <v>0</v>
      </c>
      <c r="O58">
        <v>0.08</v>
      </c>
      <c r="P58">
        <v>0.01</v>
      </c>
      <c r="Q58">
        <v>0.03</v>
      </c>
      <c r="R58">
        <v>14.38</v>
      </c>
      <c r="S58" s="1">
        <v>36.529600000000002</v>
      </c>
      <c r="T58" s="1">
        <v>5.41</v>
      </c>
    </row>
    <row r="59" spans="1:20">
      <c r="A59" s="1" t="s">
        <v>24</v>
      </c>
      <c r="B59">
        <v>2011</v>
      </c>
      <c r="C59">
        <v>7.7919999999999998</v>
      </c>
      <c r="D59">
        <v>6.7969999999999997</v>
      </c>
      <c r="E59">
        <v>3.1E-2</v>
      </c>
      <c r="F59">
        <v>1E-3</v>
      </c>
      <c r="G59">
        <v>7.1890000000000001</v>
      </c>
      <c r="H59" s="3">
        <v>27627899267</v>
      </c>
      <c r="I59">
        <v>1</v>
      </c>
      <c r="J59">
        <v>0.22314999999999999</v>
      </c>
      <c r="K59">
        <v>0.17</v>
      </c>
      <c r="L59">
        <v>4.75</v>
      </c>
      <c r="M59">
        <v>0</v>
      </c>
      <c r="N59">
        <v>0</v>
      </c>
      <c r="O59">
        <v>0.17</v>
      </c>
      <c r="P59">
        <v>0.01</v>
      </c>
      <c r="Q59">
        <v>0.11</v>
      </c>
      <c r="R59">
        <v>13.07</v>
      </c>
      <c r="S59" s="1">
        <v>77.625400000000013</v>
      </c>
      <c r="T59" s="1">
        <v>5.09</v>
      </c>
    </row>
    <row r="60" spans="1:20">
      <c r="A60" s="1" t="s">
        <v>24</v>
      </c>
      <c r="B60">
        <v>2012</v>
      </c>
      <c r="C60">
        <v>7.2619999999999996</v>
      </c>
      <c r="D60">
        <v>6.2309999999999999</v>
      </c>
      <c r="E60">
        <v>1E-3</v>
      </c>
      <c r="F60">
        <v>1E-3</v>
      </c>
      <c r="G60">
        <v>6.7320000000000002</v>
      </c>
      <c r="H60" s="3">
        <v>26675451028</v>
      </c>
      <c r="I60">
        <v>1</v>
      </c>
      <c r="J60">
        <v>0.28449999999999998</v>
      </c>
      <c r="K60">
        <v>0.26</v>
      </c>
      <c r="L60">
        <v>4.46</v>
      </c>
      <c r="M60">
        <v>0</v>
      </c>
      <c r="N60">
        <v>0</v>
      </c>
      <c r="O60">
        <v>0.26</v>
      </c>
      <c r="P60">
        <v>0.02</v>
      </c>
      <c r="Q60">
        <v>0.19</v>
      </c>
      <c r="R60">
        <v>7.33</v>
      </c>
      <c r="S60" s="1">
        <v>118.72120000000001</v>
      </c>
      <c r="T60" s="1">
        <v>4.9799999999999995</v>
      </c>
    </row>
    <row r="61" spans="1:20">
      <c r="A61" s="1" t="s">
        <v>24</v>
      </c>
      <c r="B61">
        <v>2013</v>
      </c>
      <c r="C61">
        <v>6.5780000000000003</v>
      </c>
      <c r="D61">
        <v>5.556</v>
      </c>
      <c r="E61">
        <v>1E-3</v>
      </c>
      <c r="F61">
        <v>1E-3</v>
      </c>
      <c r="G61">
        <v>5.8109999999999999</v>
      </c>
      <c r="H61" s="3">
        <v>24918237857</v>
      </c>
      <c r="I61">
        <v>1</v>
      </c>
      <c r="J61">
        <v>0.26205000000000001</v>
      </c>
      <c r="K61">
        <v>0.33</v>
      </c>
      <c r="L61">
        <v>3.96</v>
      </c>
      <c r="M61">
        <v>0</v>
      </c>
      <c r="N61">
        <v>0</v>
      </c>
      <c r="O61">
        <v>0.33</v>
      </c>
      <c r="P61">
        <v>0.05</v>
      </c>
      <c r="Q61">
        <v>0.23</v>
      </c>
      <c r="R61">
        <v>4.45</v>
      </c>
      <c r="S61" s="1">
        <v>150.68460000000002</v>
      </c>
      <c r="T61" s="1">
        <v>4.62</v>
      </c>
    </row>
    <row r="62" spans="1:20">
      <c r="A62" s="1" t="s">
        <v>24</v>
      </c>
      <c r="B62">
        <v>2014</v>
      </c>
      <c r="C62">
        <v>6.93</v>
      </c>
      <c r="D62">
        <v>5.766</v>
      </c>
      <c r="E62">
        <v>8.9999999999999993E-3</v>
      </c>
      <c r="F62">
        <v>0</v>
      </c>
      <c r="G62">
        <v>5.9340000000000002</v>
      </c>
      <c r="H62" s="3">
        <v>24475580582</v>
      </c>
      <c r="I62">
        <v>5</v>
      </c>
      <c r="J62">
        <v>0.23235</v>
      </c>
      <c r="K62">
        <v>0.31</v>
      </c>
      <c r="L62">
        <v>4.03</v>
      </c>
      <c r="M62">
        <v>0</v>
      </c>
      <c r="N62">
        <v>0</v>
      </c>
      <c r="O62">
        <v>0.31</v>
      </c>
      <c r="P62">
        <v>0.08</v>
      </c>
      <c r="Q62">
        <v>0.18</v>
      </c>
      <c r="R62">
        <v>5.96</v>
      </c>
      <c r="S62" s="1">
        <v>141.5522</v>
      </c>
      <c r="T62" s="1">
        <v>4.6499999999999995</v>
      </c>
    </row>
    <row r="63" spans="1:20">
      <c r="A63" s="1" t="s">
        <v>24</v>
      </c>
      <c r="B63">
        <v>2015</v>
      </c>
      <c r="C63">
        <v>6.952</v>
      </c>
      <c r="D63">
        <v>5.7009999999999996</v>
      </c>
      <c r="E63">
        <v>1.4999999999999999E-2</v>
      </c>
      <c r="F63">
        <v>0</v>
      </c>
      <c r="G63">
        <v>6.0490000000000004</v>
      </c>
      <c r="H63" s="3">
        <v>25312505108</v>
      </c>
      <c r="I63">
        <v>6</v>
      </c>
      <c r="J63">
        <v>0.18975</v>
      </c>
      <c r="K63">
        <v>0.4</v>
      </c>
      <c r="L63">
        <v>4.1399999999999997</v>
      </c>
      <c r="M63">
        <v>0</v>
      </c>
      <c r="N63">
        <v>0</v>
      </c>
      <c r="O63">
        <v>0.4</v>
      </c>
      <c r="P63">
        <v>0.13</v>
      </c>
      <c r="Q63">
        <v>0.22</v>
      </c>
      <c r="R63">
        <v>7.68</v>
      </c>
      <c r="S63" s="1">
        <v>182.64800000000002</v>
      </c>
      <c r="T63" s="1">
        <v>4.9400000000000004</v>
      </c>
    </row>
    <row r="64" spans="1:20">
      <c r="A64" s="1" t="s">
        <v>24</v>
      </c>
      <c r="B64">
        <v>2016</v>
      </c>
      <c r="C64">
        <v>7.35</v>
      </c>
      <c r="D64">
        <v>5.9409999999999998</v>
      </c>
      <c r="E64">
        <v>2E-3</v>
      </c>
      <c r="F64">
        <v>0</v>
      </c>
      <c r="G64">
        <v>6.4509999999999996</v>
      </c>
      <c r="H64" s="3">
        <v>26976335005</v>
      </c>
      <c r="I64">
        <v>0</v>
      </c>
      <c r="J64">
        <v>0.15739999999999998</v>
      </c>
      <c r="K64">
        <v>0.43</v>
      </c>
      <c r="L64">
        <v>4.46</v>
      </c>
      <c r="M64">
        <v>0</v>
      </c>
      <c r="N64">
        <v>0</v>
      </c>
      <c r="O64">
        <v>0.43</v>
      </c>
      <c r="P64">
        <v>0.15</v>
      </c>
      <c r="Q64">
        <v>0.23</v>
      </c>
      <c r="R64">
        <v>5.35</v>
      </c>
      <c r="S64" s="1">
        <v>196.3466</v>
      </c>
      <c r="T64" s="1">
        <v>5.3199999999999994</v>
      </c>
    </row>
    <row r="65" spans="1:20">
      <c r="A65" s="1" t="s">
        <v>24</v>
      </c>
      <c r="B65">
        <v>2017</v>
      </c>
      <c r="C65">
        <v>7.4690000000000003</v>
      </c>
      <c r="D65">
        <v>5.9550000000000001</v>
      </c>
      <c r="E65">
        <v>1.2E-2</v>
      </c>
      <c r="F65">
        <v>0</v>
      </c>
      <c r="G65">
        <v>6.5179999999999998</v>
      </c>
      <c r="H65" s="3">
        <v>28523085691</v>
      </c>
      <c r="I65">
        <v>16.5</v>
      </c>
      <c r="J65">
        <v>0.18445</v>
      </c>
      <c r="K65">
        <v>0.43</v>
      </c>
      <c r="L65">
        <v>4.57</v>
      </c>
      <c r="M65">
        <v>0</v>
      </c>
      <c r="N65">
        <v>0</v>
      </c>
      <c r="O65">
        <v>0.43</v>
      </c>
      <c r="P65">
        <v>0.17</v>
      </c>
      <c r="Q65">
        <v>0.21</v>
      </c>
      <c r="R65">
        <v>5.83</v>
      </c>
      <c r="S65" s="1">
        <v>196.3466</v>
      </c>
      <c r="T65" s="1">
        <v>5.43</v>
      </c>
    </row>
    <row r="66" spans="1:20">
      <c r="A66" s="1" t="s">
        <v>24</v>
      </c>
      <c r="B66">
        <v>2018</v>
      </c>
      <c r="C66">
        <v>7.3239999999999998</v>
      </c>
      <c r="D66">
        <v>5.7640000000000002</v>
      </c>
      <c r="E66">
        <v>5.3999999999999999E-2</v>
      </c>
      <c r="F66">
        <v>0</v>
      </c>
      <c r="G66">
        <v>6.4020000000000001</v>
      </c>
      <c r="H66" s="3">
        <v>30134014224</v>
      </c>
      <c r="I66">
        <v>22</v>
      </c>
      <c r="J66">
        <v>0.20379999999999998</v>
      </c>
      <c r="K66">
        <v>0.48</v>
      </c>
      <c r="L66">
        <v>4.58</v>
      </c>
      <c r="M66">
        <v>0</v>
      </c>
      <c r="N66">
        <v>0</v>
      </c>
      <c r="O66">
        <v>0.48</v>
      </c>
      <c r="P66">
        <v>0.2</v>
      </c>
      <c r="Q66">
        <v>0.22</v>
      </c>
      <c r="R66">
        <v>15.88</v>
      </c>
      <c r="S66" s="1">
        <v>219.17759999999998</v>
      </c>
      <c r="T66" s="1">
        <v>5.5400000000000009</v>
      </c>
    </row>
    <row r="67" spans="1:20">
      <c r="A67" s="1" t="s">
        <v>24</v>
      </c>
      <c r="B67">
        <v>2019</v>
      </c>
      <c r="C67">
        <v>7.3239999999999998</v>
      </c>
      <c r="D67">
        <v>5.6929999999999996</v>
      </c>
      <c r="E67">
        <v>6.8000000000000005E-2</v>
      </c>
      <c r="F67">
        <v>0</v>
      </c>
      <c r="G67">
        <v>6.4420000000000002</v>
      </c>
      <c r="H67" s="3">
        <v>31800247242</v>
      </c>
      <c r="I67">
        <v>32.454000000000001</v>
      </c>
      <c r="J67">
        <v>0.22194999999999998</v>
      </c>
      <c r="K67">
        <v>0.52</v>
      </c>
      <c r="L67">
        <v>4.63</v>
      </c>
      <c r="M67">
        <v>0</v>
      </c>
      <c r="N67">
        <v>0</v>
      </c>
      <c r="O67">
        <v>0.52</v>
      </c>
      <c r="P67">
        <v>0.22</v>
      </c>
      <c r="Q67">
        <v>0.24</v>
      </c>
      <c r="R67">
        <v>24.84</v>
      </c>
      <c r="S67" s="1">
        <v>237.44240000000002</v>
      </c>
      <c r="T67" s="1">
        <v>5.67</v>
      </c>
    </row>
    <row r="68" spans="1:20">
      <c r="A68" s="1" t="s">
        <v>24</v>
      </c>
      <c r="B68">
        <v>2020</v>
      </c>
      <c r="C68">
        <v>6.9029999999999996</v>
      </c>
      <c r="D68">
        <v>5.3010000000000002</v>
      </c>
      <c r="E68">
        <v>5.6000000000000001E-2</v>
      </c>
      <c r="F68">
        <v>0</v>
      </c>
      <c r="G68">
        <v>5.9450000000000003</v>
      </c>
      <c r="H68" s="3">
        <v>30409793367</v>
      </c>
      <c r="I68">
        <v>23.643000000000001</v>
      </c>
      <c r="J68">
        <v>0.19155</v>
      </c>
      <c r="K68">
        <v>0.6</v>
      </c>
      <c r="L68">
        <v>4.25</v>
      </c>
      <c r="M68">
        <v>0</v>
      </c>
      <c r="N68">
        <v>0</v>
      </c>
      <c r="O68">
        <v>0.6</v>
      </c>
      <c r="P68">
        <v>0.3</v>
      </c>
      <c r="Q68">
        <v>0.24</v>
      </c>
      <c r="R68">
        <v>24.75</v>
      </c>
      <c r="S68" s="1">
        <v>273.97199999999998</v>
      </c>
      <c r="T68" s="1">
        <v>5.4499999999999993</v>
      </c>
    </row>
    <row r="69" spans="1:20">
      <c r="A69" s="1" t="s">
        <v>24</v>
      </c>
      <c r="B69">
        <v>2021</v>
      </c>
      <c r="C69">
        <v>6.9509999999999996</v>
      </c>
      <c r="D69">
        <v>5.2759999999999998</v>
      </c>
      <c r="E69">
        <v>0.159</v>
      </c>
      <c r="F69">
        <v>0</v>
      </c>
      <c r="G69">
        <v>5.8940000000000001</v>
      </c>
      <c r="H69" s="3">
        <v>32428676744</v>
      </c>
      <c r="I69">
        <v>64.822999999999993</v>
      </c>
      <c r="J69">
        <v>0.214</v>
      </c>
      <c r="K69">
        <v>0.78</v>
      </c>
      <c r="L69">
        <v>4.34</v>
      </c>
      <c r="M69">
        <v>0</v>
      </c>
      <c r="N69">
        <v>0</v>
      </c>
      <c r="O69">
        <v>0.78</v>
      </c>
      <c r="P69">
        <v>0.47</v>
      </c>
      <c r="Q69">
        <v>0.25</v>
      </c>
      <c r="R69">
        <v>53.55</v>
      </c>
      <c r="S69" s="1">
        <v>356.16360000000003</v>
      </c>
      <c r="T69" s="1">
        <v>5.9</v>
      </c>
    </row>
    <row r="70" spans="1:20">
      <c r="A70" s="1" t="s">
        <v>24</v>
      </c>
      <c r="B70">
        <v>2022</v>
      </c>
      <c r="C70">
        <v>7.0709999999999997</v>
      </c>
      <c r="D70">
        <v>5.3109999999999999</v>
      </c>
      <c r="E70">
        <v>0.123</v>
      </c>
      <c r="F70">
        <v>0</v>
      </c>
      <c r="G70">
        <v>6.0469999999999997</v>
      </c>
      <c r="H70" s="3">
        <v>34255009922</v>
      </c>
      <c r="I70">
        <v>77.650000000000006</v>
      </c>
      <c r="J70">
        <v>0.29339999999999999</v>
      </c>
      <c r="K70">
        <v>0.88</v>
      </c>
      <c r="L70">
        <v>4.38</v>
      </c>
      <c r="M70">
        <v>0</v>
      </c>
      <c r="N70">
        <v>0</v>
      </c>
      <c r="O70">
        <v>0.88</v>
      </c>
      <c r="P70">
        <v>0.6</v>
      </c>
      <c r="Q70">
        <v>0.22</v>
      </c>
      <c r="R70">
        <v>80.87</v>
      </c>
      <c r="S70" s="1">
        <v>401.82560000000001</v>
      </c>
      <c r="T70" s="1">
        <v>6.14</v>
      </c>
    </row>
    <row r="71" spans="1:20">
      <c r="A71" s="1" t="s">
        <v>24</v>
      </c>
      <c r="B71">
        <v>2023</v>
      </c>
      <c r="C71">
        <v>7.1879999999999997</v>
      </c>
      <c r="D71">
        <v>5.3440000000000003</v>
      </c>
      <c r="E71">
        <v>0.10100000000000001</v>
      </c>
      <c r="F71">
        <v>0</v>
      </c>
      <c r="G71">
        <v>6.1260000000000003</v>
      </c>
      <c r="H71" s="3">
        <v>34255009922</v>
      </c>
      <c r="I71">
        <v>22.001999999999999</v>
      </c>
      <c r="J71">
        <v>0.35955000000000004</v>
      </c>
      <c r="K71">
        <v>1.0900000000000001</v>
      </c>
      <c r="L71">
        <v>4.24</v>
      </c>
      <c r="M71">
        <v>0</v>
      </c>
      <c r="N71">
        <v>0</v>
      </c>
      <c r="O71">
        <v>1.0900000000000001</v>
      </c>
      <c r="P71">
        <v>0.83</v>
      </c>
      <c r="Q71">
        <v>0.21</v>
      </c>
      <c r="R71">
        <v>85.3</v>
      </c>
      <c r="S71" s="1">
        <v>497.71580000000006</v>
      </c>
      <c r="T71" s="1">
        <v>6.42</v>
      </c>
    </row>
    <row r="72" spans="1:20">
      <c r="A72" s="1" t="s">
        <v>25</v>
      </c>
      <c r="B72">
        <v>2010</v>
      </c>
      <c r="C72">
        <v>117.464</v>
      </c>
      <c r="D72">
        <v>11.226000000000001</v>
      </c>
      <c r="E72">
        <v>74.554000000000002</v>
      </c>
      <c r="F72">
        <v>18.398</v>
      </c>
      <c r="G72">
        <v>21.02</v>
      </c>
      <c r="H72" s="3">
        <v>271231988282</v>
      </c>
      <c r="I72">
        <v>3681</v>
      </c>
      <c r="J72">
        <v>0.15225</v>
      </c>
      <c r="K72">
        <v>33.909999999999997</v>
      </c>
      <c r="L72">
        <v>51.31</v>
      </c>
      <c r="M72">
        <v>2.79</v>
      </c>
      <c r="N72">
        <v>28</v>
      </c>
      <c r="O72">
        <v>5.91</v>
      </c>
      <c r="P72">
        <v>0.62</v>
      </c>
      <c r="Q72">
        <v>0.34</v>
      </c>
      <c r="R72">
        <v>14.38</v>
      </c>
      <c r="S72" s="1">
        <v>2698.6242000000002</v>
      </c>
      <c r="T72" s="1">
        <v>91.13</v>
      </c>
    </row>
    <row r="73" spans="1:20">
      <c r="A73" s="1" t="s">
        <v>25</v>
      </c>
      <c r="B73">
        <v>2011</v>
      </c>
      <c r="C73">
        <v>115.178</v>
      </c>
      <c r="D73">
        <v>10.974</v>
      </c>
      <c r="E73">
        <v>73.748999999999995</v>
      </c>
      <c r="F73">
        <v>16.824999999999999</v>
      </c>
      <c r="G73">
        <v>20.802</v>
      </c>
      <c r="H73" s="3">
        <v>279082754736</v>
      </c>
      <c r="I73">
        <v>3769</v>
      </c>
      <c r="J73">
        <v>0.1643</v>
      </c>
      <c r="K73">
        <v>35.520000000000003</v>
      </c>
      <c r="L73">
        <v>51.12</v>
      </c>
      <c r="M73">
        <v>1.96</v>
      </c>
      <c r="N73">
        <v>28.28</v>
      </c>
      <c r="O73">
        <v>7.24</v>
      </c>
      <c r="P73">
        <v>2.1800000000000002</v>
      </c>
      <c r="Q73">
        <v>0.4</v>
      </c>
      <c r="R73">
        <v>13.07</v>
      </c>
      <c r="S73" s="1">
        <v>3305.9288000000001</v>
      </c>
      <c r="T73" s="1">
        <v>93.88</v>
      </c>
    </row>
    <row r="74" spans="1:20">
      <c r="A74" s="1" t="s">
        <v>25</v>
      </c>
      <c r="B74">
        <v>2012</v>
      </c>
      <c r="C74">
        <v>111.276</v>
      </c>
      <c r="D74">
        <v>10.59</v>
      </c>
      <c r="E74">
        <v>70.768000000000001</v>
      </c>
      <c r="F74">
        <v>16.623999999999999</v>
      </c>
      <c r="G74">
        <v>20.305</v>
      </c>
      <c r="H74" s="3">
        <v>276891945353</v>
      </c>
      <c r="I74">
        <v>3501</v>
      </c>
      <c r="J74">
        <v>0.1666</v>
      </c>
      <c r="K74">
        <v>38.39</v>
      </c>
      <c r="L74">
        <v>48.19</v>
      </c>
      <c r="M74">
        <v>2.13</v>
      </c>
      <c r="N74">
        <v>30.32</v>
      </c>
      <c r="O74">
        <v>8.07</v>
      </c>
      <c r="P74">
        <v>2.15</v>
      </c>
      <c r="Q74">
        <v>0.42</v>
      </c>
      <c r="R74">
        <v>7.33</v>
      </c>
      <c r="S74" s="1">
        <v>3684.9234000000001</v>
      </c>
      <c r="T74" s="1">
        <v>94.65</v>
      </c>
    </row>
    <row r="75" spans="1:20">
      <c r="A75" s="1" t="s">
        <v>25</v>
      </c>
      <c r="B75">
        <v>2013</v>
      </c>
      <c r="C75">
        <v>106.71</v>
      </c>
      <c r="D75">
        <v>10.151999999999999</v>
      </c>
      <c r="E75">
        <v>66.87</v>
      </c>
      <c r="F75">
        <v>16.826000000000001</v>
      </c>
      <c r="G75">
        <v>19.66</v>
      </c>
      <c r="H75" s="3">
        <v>276764861619</v>
      </c>
      <c r="I75">
        <v>3635</v>
      </c>
      <c r="J75">
        <v>0.1663</v>
      </c>
      <c r="K75">
        <v>40.049999999999997</v>
      </c>
      <c r="L75">
        <v>45.86</v>
      </c>
      <c r="M75">
        <v>2.73</v>
      </c>
      <c r="N75">
        <v>30.75</v>
      </c>
      <c r="O75">
        <v>9.3000000000000007</v>
      </c>
      <c r="P75">
        <v>2.0299999999999998</v>
      </c>
      <c r="Q75">
        <v>0.48</v>
      </c>
      <c r="R75">
        <v>4.45</v>
      </c>
      <c r="S75" s="1">
        <v>4246.5660000000007</v>
      </c>
      <c r="T75" s="1">
        <v>95.21</v>
      </c>
    </row>
    <row r="76" spans="1:20">
      <c r="A76" s="1" t="s">
        <v>25</v>
      </c>
      <c r="B76">
        <v>2014</v>
      </c>
      <c r="C76">
        <v>104.233</v>
      </c>
      <c r="D76">
        <v>9.9109999999999996</v>
      </c>
      <c r="E76">
        <v>64.905000000000001</v>
      </c>
      <c r="F76">
        <v>15.113</v>
      </c>
      <c r="G76">
        <v>20.702000000000002</v>
      </c>
      <c r="H76" s="3">
        <v>283025537919</v>
      </c>
      <c r="I76">
        <v>5585</v>
      </c>
      <c r="J76">
        <v>0.13835</v>
      </c>
      <c r="K76">
        <v>39.5</v>
      </c>
      <c r="L76">
        <v>45.48</v>
      </c>
      <c r="M76">
        <v>1.91</v>
      </c>
      <c r="N76">
        <v>30.33</v>
      </c>
      <c r="O76">
        <v>9.17</v>
      </c>
      <c r="P76">
        <v>2.12</v>
      </c>
      <c r="Q76">
        <v>0.48</v>
      </c>
      <c r="R76">
        <v>5.96</v>
      </c>
      <c r="S76" s="1">
        <v>4187.2053999999998</v>
      </c>
      <c r="T76" s="1">
        <v>94.149999999999991</v>
      </c>
    </row>
    <row r="77" spans="1:20">
      <c r="A77" s="1" t="s">
        <v>25</v>
      </c>
      <c r="B77">
        <v>2015</v>
      </c>
      <c r="C77">
        <v>104.99</v>
      </c>
      <c r="D77">
        <v>9.9760000000000009</v>
      </c>
      <c r="E77">
        <v>64.322000000000003</v>
      </c>
      <c r="F77">
        <v>15.909000000000001</v>
      </c>
      <c r="G77">
        <v>21.210999999999999</v>
      </c>
      <c r="H77" s="3">
        <v>298276052489</v>
      </c>
      <c r="I77">
        <v>5046</v>
      </c>
      <c r="J77">
        <v>0.13965</v>
      </c>
      <c r="K77">
        <v>36.25</v>
      </c>
      <c r="L77">
        <v>46.24</v>
      </c>
      <c r="M77">
        <v>1.79</v>
      </c>
      <c r="N77">
        <v>26.84</v>
      </c>
      <c r="O77">
        <v>9.41</v>
      </c>
      <c r="P77">
        <v>2.2599999999999998</v>
      </c>
      <c r="Q77">
        <v>0.56999999999999995</v>
      </c>
      <c r="R77">
        <v>7.68</v>
      </c>
      <c r="S77" s="1">
        <v>4296.7942000000003</v>
      </c>
      <c r="T77" s="1">
        <v>91.9</v>
      </c>
    </row>
    <row r="78" spans="1:20">
      <c r="A78" s="1" t="s">
        <v>25</v>
      </c>
      <c r="B78">
        <v>2016</v>
      </c>
      <c r="C78">
        <v>106.636</v>
      </c>
      <c r="D78">
        <v>10.125</v>
      </c>
      <c r="E78">
        <v>64.727999999999994</v>
      </c>
      <c r="F78">
        <v>17.007999999999999</v>
      </c>
      <c r="G78">
        <v>21.24</v>
      </c>
      <c r="H78" s="3">
        <v>305844147713</v>
      </c>
      <c r="I78">
        <v>4718</v>
      </c>
      <c r="J78">
        <v>0.14205000000000001</v>
      </c>
      <c r="K78">
        <v>33.49</v>
      </c>
      <c r="L78">
        <v>48.51</v>
      </c>
      <c r="M78">
        <v>2</v>
      </c>
      <c r="N78">
        <v>24.1</v>
      </c>
      <c r="O78">
        <v>9.39</v>
      </c>
      <c r="P78">
        <v>2.13</v>
      </c>
      <c r="Q78">
        <v>0.5</v>
      </c>
      <c r="R78">
        <v>5.35</v>
      </c>
      <c r="S78" s="1">
        <v>4287.6617999999999</v>
      </c>
      <c r="T78" s="1">
        <v>91.39</v>
      </c>
    </row>
    <row r="79" spans="1:20">
      <c r="A79" s="1" t="s">
        <v>25</v>
      </c>
      <c r="B79">
        <v>2017</v>
      </c>
      <c r="C79">
        <v>107.736</v>
      </c>
      <c r="D79">
        <v>10.220000000000001</v>
      </c>
      <c r="E79">
        <v>64.307000000000002</v>
      </c>
      <c r="F79">
        <v>17.713000000000001</v>
      </c>
      <c r="G79">
        <v>22.010999999999999</v>
      </c>
      <c r="H79" s="3">
        <v>321652381589</v>
      </c>
      <c r="I79">
        <v>4796.1890000000003</v>
      </c>
      <c r="J79">
        <v>0.14629999999999999</v>
      </c>
      <c r="K79">
        <v>37.97</v>
      </c>
      <c r="L79">
        <v>47.79</v>
      </c>
      <c r="M79">
        <v>1.87</v>
      </c>
      <c r="N79">
        <v>28.34</v>
      </c>
      <c r="O79">
        <v>9.6300000000000008</v>
      </c>
      <c r="P79">
        <v>2.2000000000000002</v>
      </c>
      <c r="Q79">
        <v>0.59</v>
      </c>
      <c r="R79">
        <v>5.83</v>
      </c>
      <c r="S79" s="1">
        <v>4397.2506000000003</v>
      </c>
      <c r="T79" s="1">
        <v>95.389999999999986</v>
      </c>
    </row>
    <row r="80" spans="1:20">
      <c r="A80" s="1" t="s">
        <v>25</v>
      </c>
      <c r="B80">
        <v>2018</v>
      </c>
      <c r="C80">
        <v>106.322</v>
      </c>
      <c r="D80">
        <v>10.079000000000001</v>
      </c>
      <c r="E80">
        <v>63.573</v>
      </c>
      <c r="F80">
        <v>16.640999999999998</v>
      </c>
      <c r="G80">
        <v>22.221</v>
      </c>
      <c r="H80" s="3">
        <v>332009886797</v>
      </c>
      <c r="I80">
        <v>4758.6949999999997</v>
      </c>
      <c r="J80">
        <v>0.15794999999999998</v>
      </c>
      <c r="K80">
        <v>39.35</v>
      </c>
      <c r="L80">
        <v>47.49</v>
      </c>
      <c r="M80">
        <v>1.63</v>
      </c>
      <c r="N80">
        <v>29.92</v>
      </c>
      <c r="O80">
        <v>9.43</v>
      </c>
      <c r="P80">
        <v>2.36</v>
      </c>
      <c r="Q80">
        <v>0.61</v>
      </c>
      <c r="R80">
        <v>15.88</v>
      </c>
      <c r="S80" s="1">
        <v>4305.9265999999998</v>
      </c>
      <c r="T80" s="1">
        <v>96.27000000000001</v>
      </c>
    </row>
    <row r="81" spans="1:20">
      <c r="A81" s="1" t="s">
        <v>25</v>
      </c>
      <c r="B81">
        <v>2019</v>
      </c>
      <c r="C81">
        <v>100.997</v>
      </c>
      <c r="D81">
        <v>9.5690000000000008</v>
      </c>
      <c r="E81">
        <v>57.468000000000004</v>
      </c>
      <c r="F81">
        <v>17.361000000000001</v>
      </c>
      <c r="G81">
        <v>22.341000000000001</v>
      </c>
      <c r="H81" s="3">
        <v>342069373423</v>
      </c>
      <c r="I81">
        <v>4449.049</v>
      </c>
      <c r="J81">
        <v>0.1759</v>
      </c>
      <c r="K81">
        <v>40.31</v>
      </c>
      <c r="L81">
        <v>45.41</v>
      </c>
      <c r="M81">
        <v>2.0099999999999998</v>
      </c>
      <c r="N81">
        <v>30.25</v>
      </c>
      <c r="O81">
        <v>10.06</v>
      </c>
      <c r="P81">
        <v>2.3199999999999998</v>
      </c>
      <c r="Q81">
        <v>0.7</v>
      </c>
      <c r="R81">
        <v>24.84</v>
      </c>
      <c r="S81" s="1">
        <v>4593.5972000000002</v>
      </c>
      <c r="T81" s="1">
        <v>95.78</v>
      </c>
    </row>
    <row r="82" spans="1:20">
      <c r="A82" s="1" t="s">
        <v>25</v>
      </c>
      <c r="B82">
        <v>2020</v>
      </c>
      <c r="C82">
        <v>91.661000000000001</v>
      </c>
      <c r="D82">
        <v>8.6880000000000006</v>
      </c>
      <c r="E82">
        <v>49.726999999999997</v>
      </c>
      <c r="F82">
        <v>17.431000000000001</v>
      </c>
      <c r="G82">
        <v>20.963000000000001</v>
      </c>
      <c r="H82" s="3">
        <v>323245433506</v>
      </c>
      <c r="I82">
        <v>4318.8850000000002</v>
      </c>
      <c r="J82">
        <v>0.18180000000000002</v>
      </c>
      <c r="K82">
        <v>40.380000000000003</v>
      </c>
      <c r="L82">
        <v>39.72</v>
      </c>
      <c r="M82">
        <v>2.14</v>
      </c>
      <c r="N82">
        <v>30.04</v>
      </c>
      <c r="O82">
        <v>10.34</v>
      </c>
      <c r="P82">
        <v>2.29</v>
      </c>
      <c r="Q82">
        <v>0.7</v>
      </c>
      <c r="R82">
        <v>24.75</v>
      </c>
      <c r="S82" s="1">
        <v>4721.4507999999996</v>
      </c>
      <c r="T82" s="1">
        <v>90.44</v>
      </c>
    </row>
    <row r="83" spans="1:20">
      <c r="A83" s="1" t="s">
        <v>25</v>
      </c>
      <c r="B83">
        <v>2021</v>
      </c>
      <c r="C83">
        <v>96.629000000000005</v>
      </c>
      <c r="D83">
        <v>9.1760000000000002</v>
      </c>
      <c r="E83">
        <v>51.405999999999999</v>
      </c>
      <c r="F83">
        <v>19.045000000000002</v>
      </c>
      <c r="G83">
        <v>22.437000000000001</v>
      </c>
      <c r="H83" s="3">
        <v>334729441747</v>
      </c>
      <c r="I83">
        <v>5443.2</v>
      </c>
      <c r="J83">
        <v>0.18425</v>
      </c>
      <c r="K83">
        <v>41.37</v>
      </c>
      <c r="L83">
        <v>42.29</v>
      </c>
      <c r="M83">
        <v>2.41</v>
      </c>
      <c r="N83">
        <v>30.73</v>
      </c>
      <c r="O83">
        <v>10.64</v>
      </c>
      <c r="P83">
        <v>2.25</v>
      </c>
      <c r="Q83">
        <v>0.6</v>
      </c>
      <c r="R83">
        <v>53.55</v>
      </c>
      <c r="S83" s="1">
        <v>4858.4368000000004</v>
      </c>
      <c r="T83" s="1">
        <v>94.3</v>
      </c>
    </row>
    <row r="84" spans="1:20">
      <c r="A84" s="1" t="s">
        <v>25</v>
      </c>
      <c r="B84">
        <v>2022</v>
      </c>
      <c r="C84">
        <v>95.04</v>
      </c>
      <c r="D84">
        <v>8.9049999999999994</v>
      </c>
      <c r="E84">
        <v>52.908999999999999</v>
      </c>
      <c r="F84">
        <v>15.805</v>
      </c>
      <c r="G84">
        <v>22.765000000000001</v>
      </c>
      <c r="H84" s="3">
        <v>342966849621</v>
      </c>
      <c r="I84">
        <v>5379.6149999999998</v>
      </c>
      <c r="J84">
        <v>0.20829999999999999</v>
      </c>
      <c r="K84">
        <v>41.79</v>
      </c>
      <c r="L84">
        <v>41.94</v>
      </c>
      <c r="M84">
        <v>2.09</v>
      </c>
      <c r="N84">
        <v>31.02</v>
      </c>
      <c r="O84">
        <v>10.77</v>
      </c>
      <c r="P84">
        <v>2.63</v>
      </c>
      <c r="Q84">
        <v>0.64</v>
      </c>
      <c r="R84">
        <v>80.87</v>
      </c>
      <c r="S84" s="1">
        <v>4917.7973999999995</v>
      </c>
      <c r="T84" s="1">
        <v>94.499999999999986</v>
      </c>
    </row>
    <row r="85" spans="1:20">
      <c r="A85" s="1" t="s">
        <v>25</v>
      </c>
      <c r="B85">
        <v>2023</v>
      </c>
      <c r="C85">
        <v>83.231999999999999</v>
      </c>
      <c r="D85">
        <v>7.7</v>
      </c>
      <c r="E85">
        <v>43.042000000000002</v>
      </c>
      <c r="F85">
        <v>14.058999999999999</v>
      </c>
      <c r="G85">
        <v>23.309000000000001</v>
      </c>
      <c r="H85" s="3">
        <v>342966849621</v>
      </c>
      <c r="I85">
        <v>4404.2839999999997</v>
      </c>
      <c r="J85">
        <v>0.31705</v>
      </c>
      <c r="K85">
        <v>41.55</v>
      </c>
      <c r="L85">
        <v>34.25</v>
      </c>
      <c r="M85">
        <v>2.36</v>
      </c>
      <c r="N85">
        <v>30.41</v>
      </c>
      <c r="O85">
        <v>11.14</v>
      </c>
      <c r="P85">
        <v>2.89</v>
      </c>
      <c r="Q85">
        <v>0.7</v>
      </c>
      <c r="R85">
        <v>85.3</v>
      </c>
      <c r="S85" s="1">
        <v>5086.7467999999999</v>
      </c>
      <c r="T85" s="1">
        <v>86.94</v>
      </c>
    </row>
    <row r="86" spans="1:20">
      <c r="A86" s="1" t="s">
        <v>26</v>
      </c>
      <c r="B86">
        <v>2010</v>
      </c>
      <c r="C86">
        <v>49.19</v>
      </c>
      <c r="D86">
        <v>8.8659999999999997</v>
      </c>
      <c r="E86">
        <v>15.351000000000001</v>
      </c>
      <c r="F86">
        <v>10.555</v>
      </c>
      <c r="G86">
        <v>21.946000000000002</v>
      </c>
      <c r="H86" s="3">
        <v>238190225279</v>
      </c>
      <c r="I86">
        <v>4594</v>
      </c>
      <c r="J86">
        <v>0.26890000000000003</v>
      </c>
      <c r="K86">
        <v>12.43</v>
      </c>
      <c r="L86">
        <v>26.32</v>
      </c>
      <c r="M86">
        <v>0.02</v>
      </c>
      <c r="N86">
        <v>0</v>
      </c>
      <c r="O86">
        <v>12.43</v>
      </c>
      <c r="P86">
        <v>0.01</v>
      </c>
      <c r="Q86">
        <v>7.81</v>
      </c>
      <c r="R86">
        <v>14.38</v>
      </c>
      <c r="S86" s="1">
        <v>5675.7866000000004</v>
      </c>
      <c r="T86" s="1">
        <v>51.18</v>
      </c>
    </row>
    <row r="87" spans="1:20">
      <c r="A87" s="1" t="s">
        <v>26</v>
      </c>
      <c r="B87">
        <v>2011</v>
      </c>
      <c r="C87">
        <v>44.237000000000002</v>
      </c>
      <c r="D87">
        <v>7.9409999999999998</v>
      </c>
      <c r="E87">
        <v>12.914999999999999</v>
      </c>
      <c r="F87">
        <v>8.9719999999999995</v>
      </c>
      <c r="G87">
        <v>20.914999999999999</v>
      </c>
      <c r="H87" s="3">
        <v>242757622888</v>
      </c>
      <c r="I87">
        <v>6159</v>
      </c>
      <c r="J87">
        <v>0.29420000000000002</v>
      </c>
      <c r="K87">
        <v>14.17</v>
      </c>
      <c r="L87">
        <v>20.94</v>
      </c>
      <c r="M87">
        <v>0.02</v>
      </c>
      <c r="N87">
        <v>0</v>
      </c>
      <c r="O87">
        <v>14.17</v>
      </c>
      <c r="P87">
        <v>0.01</v>
      </c>
      <c r="Q87">
        <v>9.77</v>
      </c>
      <c r="R87">
        <v>13.07</v>
      </c>
      <c r="S87" s="1">
        <v>6470.3054000000002</v>
      </c>
      <c r="T87" s="1">
        <v>49.28</v>
      </c>
    </row>
    <row r="88" spans="1:20">
      <c r="A88" s="1" t="s">
        <v>26</v>
      </c>
      <c r="B88">
        <v>2012</v>
      </c>
      <c r="C88">
        <v>39.860999999999997</v>
      </c>
      <c r="D88">
        <v>7.1280000000000001</v>
      </c>
      <c r="E88">
        <v>10.077999999999999</v>
      </c>
      <c r="F88">
        <v>8.4039999999999999</v>
      </c>
      <c r="G88">
        <v>19.952000000000002</v>
      </c>
      <c r="H88" s="3">
        <v>243307499552</v>
      </c>
      <c r="I88">
        <v>4000</v>
      </c>
      <c r="J88">
        <v>0.29844999999999999</v>
      </c>
      <c r="K88">
        <v>14.84</v>
      </c>
      <c r="L88">
        <v>15.73</v>
      </c>
      <c r="M88">
        <v>0.02</v>
      </c>
      <c r="N88">
        <v>0</v>
      </c>
      <c r="O88">
        <v>14.84</v>
      </c>
      <c r="P88">
        <v>0.1</v>
      </c>
      <c r="Q88">
        <v>10.27</v>
      </c>
      <c r="R88">
        <v>7.33</v>
      </c>
      <c r="S88" s="1">
        <v>6776.2407999999996</v>
      </c>
      <c r="T88" s="1">
        <v>45.41</v>
      </c>
    </row>
    <row r="89" spans="1:20">
      <c r="A89" s="1" t="s">
        <v>26</v>
      </c>
      <c r="B89">
        <v>2013</v>
      </c>
      <c r="C89">
        <v>41.762999999999998</v>
      </c>
      <c r="D89">
        <v>7.4370000000000003</v>
      </c>
      <c r="E89">
        <v>12.755000000000001</v>
      </c>
      <c r="F89">
        <v>7.9290000000000003</v>
      </c>
      <c r="G89">
        <v>19.574000000000002</v>
      </c>
      <c r="H89" s="3">
        <v>245578374484</v>
      </c>
      <c r="I89">
        <v>4973</v>
      </c>
      <c r="J89">
        <v>0.29680000000000001</v>
      </c>
      <c r="K89">
        <v>15.96</v>
      </c>
      <c r="L89">
        <v>18.649999999999999</v>
      </c>
      <c r="M89">
        <v>0.01</v>
      </c>
      <c r="N89">
        <v>0</v>
      </c>
      <c r="O89">
        <v>15.96</v>
      </c>
      <c r="P89">
        <v>0.52</v>
      </c>
      <c r="Q89">
        <v>11.12</v>
      </c>
      <c r="R89">
        <v>4.45</v>
      </c>
      <c r="S89" s="1">
        <v>7287.6552000000001</v>
      </c>
      <c r="T89" s="1">
        <v>50.57</v>
      </c>
    </row>
    <row r="90" spans="1:20">
      <c r="A90" s="1" t="s">
        <v>26</v>
      </c>
      <c r="B90">
        <v>2014</v>
      </c>
      <c r="C90">
        <v>37.570999999999998</v>
      </c>
      <c r="D90">
        <v>6.657</v>
      </c>
      <c r="E90">
        <v>10.143000000000001</v>
      </c>
      <c r="F90">
        <v>6.81</v>
      </c>
      <c r="G90">
        <v>19.085000000000001</v>
      </c>
      <c r="H90" s="3">
        <v>249555233739</v>
      </c>
      <c r="I90">
        <v>4554</v>
      </c>
      <c r="J90">
        <v>0.30385000000000001</v>
      </c>
      <c r="K90">
        <v>17.989999999999998</v>
      </c>
      <c r="L90">
        <v>14.05</v>
      </c>
      <c r="M90">
        <v>0.02</v>
      </c>
      <c r="N90">
        <v>0</v>
      </c>
      <c r="O90">
        <v>17.989999999999998</v>
      </c>
      <c r="P90">
        <v>0.6</v>
      </c>
      <c r="Q90">
        <v>13.08</v>
      </c>
      <c r="R90">
        <v>5.96</v>
      </c>
      <c r="S90" s="1">
        <v>8214.5937999999987</v>
      </c>
      <c r="T90" s="1">
        <v>50.03</v>
      </c>
    </row>
    <row r="91" spans="1:20">
      <c r="A91" s="1" t="s">
        <v>26</v>
      </c>
      <c r="B91">
        <v>2015</v>
      </c>
      <c r="C91">
        <v>35.110999999999997</v>
      </c>
      <c r="D91">
        <v>6.1769999999999996</v>
      </c>
      <c r="E91">
        <v>7.242</v>
      </c>
      <c r="F91">
        <v>6.9050000000000002</v>
      </c>
      <c r="G91">
        <v>19.471</v>
      </c>
      <c r="H91" s="3">
        <v>255401297489</v>
      </c>
      <c r="I91">
        <v>2772.4259999999999</v>
      </c>
      <c r="J91">
        <v>0.30549999999999999</v>
      </c>
      <c r="K91">
        <v>18.93</v>
      </c>
      <c r="L91">
        <v>9.85</v>
      </c>
      <c r="M91">
        <v>0.02</v>
      </c>
      <c r="N91">
        <v>0</v>
      </c>
      <c r="O91">
        <v>18.93</v>
      </c>
      <c r="P91">
        <v>0.6</v>
      </c>
      <c r="Q91">
        <v>14.13</v>
      </c>
      <c r="R91">
        <v>7.68</v>
      </c>
      <c r="S91" s="1">
        <v>8643.8166000000001</v>
      </c>
      <c r="T91" s="1">
        <v>47.71</v>
      </c>
    </row>
    <row r="92" spans="1:20">
      <c r="A92" s="1" t="s">
        <v>26</v>
      </c>
      <c r="B92">
        <v>2016</v>
      </c>
      <c r="C92">
        <v>36.917000000000002</v>
      </c>
      <c r="D92">
        <v>6.4450000000000003</v>
      </c>
      <c r="E92">
        <v>8.4130000000000003</v>
      </c>
      <c r="F92">
        <v>7.0090000000000003</v>
      </c>
      <c r="G92">
        <v>19.751000000000001</v>
      </c>
      <c r="H92" s="3">
        <v>263691544304</v>
      </c>
      <c r="I92">
        <v>2897.384</v>
      </c>
      <c r="J92">
        <v>0.30859999999999999</v>
      </c>
      <c r="K92">
        <v>18.39</v>
      </c>
      <c r="L92">
        <v>12.01</v>
      </c>
      <c r="M92">
        <v>0.02</v>
      </c>
      <c r="N92">
        <v>0</v>
      </c>
      <c r="O92">
        <v>18.39</v>
      </c>
      <c r="P92">
        <v>0.74</v>
      </c>
      <c r="Q92">
        <v>12.78</v>
      </c>
      <c r="R92">
        <v>5.35</v>
      </c>
      <c r="S92" s="1">
        <v>8397.2417999999998</v>
      </c>
      <c r="T92" s="1">
        <v>48.79</v>
      </c>
    </row>
    <row r="93" spans="1:20">
      <c r="A93" s="1" t="s">
        <v>26</v>
      </c>
      <c r="B93">
        <v>2017</v>
      </c>
      <c r="C93">
        <v>34.664999999999999</v>
      </c>
      <c r="D93">
        <v>6.0129999999999999</v>
      </c>
      <c r="E93">
        <v>6.2530000000000001</v>
      </c>
      <c r="F93">
        <v>6.6760000000000002</v>
      </c>
      <c r="G93">
        <v>19.917999999999999</v>
      </c>
      <c r="H93" s="3">
        <v>271132202845</v>
      </c>
      <c r="I93">
        <v>3085.752</v>
      </c>
      <c r="J93">
        <v>0.30295</v>
      </c>
      <c r="K93">
        <v>21.8</v>
      </c>
      <c r="L93">
        <v>9.1</v>
      </c>
      <c r="M93">
        <v>0.02</v>
      </c>
      <c r="N93">
        <v>0</v>
      </c>
      <c r="O93">
        <v>21.8</v>
      </c>
      <c r="P93">
        <v>0.75</v>
      </c>
      <c r="Q93">
        <v>14.78</v>
      </c>
      <c r="R93">
        <v>5.83</v>
      </c>
      <c r="S93" s="1">
        <v>9954.3160000000007</v>
      </c>
      <c r="T93" s="1">
        <v>52.7</v>
      </c>
    </row>
    <row r="94" spans="1:20">
      <c r="A94" s="1" t="s">
        <v>26</v>
      </c>
      <c r="B94">
        <v>2018</v>
      </c>
      <c r="C94">
        <v>34.609000000000002</v>
      </c>
      <c r="D94">
        <v>5.9729999999999999</v>
      </c>
      <c r="E94">
        <v>6.3620000000000001</v>
      </c>
      <c r="F94">
        <v>6.4829999999999997</v>
      </c>
      <c r="G94">
        <v>19.968</v>
      </c>
      <c r="H94" s="3">
        <v>276526484620</v>
      </c>
      <c r="I94">
        <v>2770.4859999999999</v>
      </c>
      <c r="J94">
        <v>0.31245000000000001</v>
      </c>
      <c r="K94">
        <v>20.75</v>
      </c>
      <c r="L94">
        <v>9.4600000000000009</v>
      </c>
      <c r="M94">
        <v>0.01</v>
      </c>
      <c r="N94">
        <v>0</v>
      </c>
      <c r="O94">
        <v>20.75</v>
      </c>
      <c r="P94">
        <v>0.95</v>
      </c>
      <c r="Q94">
        <v>13.9</v>
      </c>
      <c r="R94">
        <v>15.88</v>
      </c>
      <c r="S94" s="1">
        <v>9474.8649999999998</v>
      </c>
      <c r="T94" s="1">
        <v>50.96</v>
      </c>
    </row>
    <row r="95" spans="1:20">
      <c r="A95" s="1" t="s">
        <v>26</v>
      </c>
      <c r="B95">
        <v>2019</v>
      </c>
      <c r="C95">
        <v>30.95</v>
      </c>
      <c r="D95">
        <v>5.3230000000000004</v>
      </c>
      <c r="E95">
        <v>3.5880000000000001</v>
      </c>
      <c r="F95">
        <v>6.024</v>
      </c>
      <c r="G95">
        <v>19.686</v>
      </c>
      <c r="H95" s="3">
        <v>280656364923</v>
      </c>
      <c r="I95">
        <v>2396.2339999999999</v>
      </c>
      <c r="J95">
        <v>0.2954</v>
      </c>
      <c r="K95">
        <v>23.07</v>
      </c>
      <c r="L95">
        <v>6.3</v>
      </c>
      <c r="M95">
        <v>0.02</v>
      </c>
      <c r="N95">
        <v>0</v>
      </c>
      <c r="O95">
        <v>23.07</v>
      </c>
      <c r="P95">
        <v>0.96</v>
      </c>
      <c r="Q95">
        <v>16.149999999999999</v>
      </c>
      <c r="R95">
        <v>24.84</v>
      </c>
      <c r="S95" s="1">
        <v>10534.223400000001</v>
      </c>
      <c r="T95" s="1">
        <v>52.44</v>
      </c>
    </row>
    <row r="96" spans="1:20">
      <c r="A96" s="1" t="s">
        <v>26</v>
      </c>
      <c r="B96">
        <v>2020</v>
      </c>
      <c r="C96">
        <v>28.3</v>
      </c>
      <c r="D96">
        <v>4.8529999999999998</v>
      </c>
      <c r="E96">
        <v>3.1659999999999999</v>
      </c>
      <c r="F96">
        <v>4.7990000000000004</v>
      </c>
      <c r="G96">
        <v>18.579000000000001</v>
      </c>
      <c r="H96" s="3">
        <v>275058379473</v>
      </c>
      <c r="I96">
        <v>1122.1659999999999</v>
      </c>
      <c r="J96">
        <v>0.28259999999999996</v>
      </c>
      <c r="K96">
        <v>23.45</v>
      </c>
      <c r="L96">
        <v>5.13</v>
      </c>
      <c r="M96">
        <v>0.02</v>
      </c>
      <c r="N96">
        <v>0</v>
      </c>
      <c r="O96">
        <v>23.45</v>
      </c>
      <c r="P96">
        <v>1.18</v>
      </c>
      <c r="Q96">
        <v>16.329999999999998</v>
      </c>
      <c r="R96">
        <v>24.75</v>
      </c>
      <c r="S96" s="1">
        <v>10707.739</v>
      </c>
      <c r="T96" s="1">
        <v>52.03</v>
      </c>
    </row>
    <row r="97" spans="1:20">
      <c r="A97" s="1" t="s">
        <v>26</v>
      </c>
      <c r="B97">
        <v>2021</v>
      </c>
      <c r="C97">
        <v>29.603999999999999</v>
      </c>
      <c r="D97">
        <v>5.0549999999999997</v>
      </c>
      <c r="E97">
        <v>4.2069999999999999</v>
      </c>
      <c r="F97">
        <v>4.8079999999999998</v>
      </c>
      <c r="G97">
        <v>18.827000000000002</v>
      </c>
      <c r="H97" s="3">
        <v>288414406840</v>
      </c>
      <c r="I97">
        <v>785.90899999999999</v>
      </c>
      <c r="J97">
        <v>0.31740000000000002</v>
      </c>
      <c r="K97">
        <v>26.1</v>
      </c>
      <c r="L97">
        <v>6.82</v>
      </c>
      <c r="M97">
        <v>0.02</v>
      </c>
      <c r="N97">
        <v>0</v>
      </c>
      <c r="O97">
        <v>26.1</v>
      </c>
      <c r="P97">
        <v>1.31</v>
      </c>
      <c r="Q97">
        <v>16.05</v>
      </c>
      <c r="R97">
        <v>53.55</v>
      </c>
      <c r="S97" s="1">
        <v>11917.782000000001</v>
      </c>
      <c r="T97" s="1">
        <v>59.02</v>
      </c>
    </row>
    <row r="98" spans="1:20">
      <c r="A98" s="1" t="s">
        <v>26</v>
      </c>
      <c r="B98">
        <v>2022</v>
      </c>
      <c r="C98">
        <v>29.094000000000001</v>
      </c>
      <c r="D98">
        <v>4.9290000000000003</v>
      </c>
      <c r="E98">
        <v>4.133</v>
      </c>
      <c r="F98">
        <v>3.468</v>
      </c>
      <c r="G98">
        <v>19.869</v>
      </c>
      <c r="H98" s="3">
        <v>299429011832</v>
      </c>
      <c r="I98">
        <v>1883.3389999999999</v>
      </c>
      <c r="J98">
        <v>0.52149999999999996</v>
      </c>
      <c r="K98">
        <v>28.43</v>
      </c>
      <c r="L98">
        <v>6.73</v>
      </c>
      <c r="M98">
        <v>0.01</v>
      </c>
      <c r="N98">
        <v>0</v>
      </c>
      <c r="O98">
        <v>28.43</v>
      </c>
      <c r="P98">
        <v>2.38</v>
      </c>
      <c r="Q98">
        <v>19.02</v>
      </c>
      <c r="R98">
        <v>80.87</v>
      </c>
      <c r="S98" s="1">
        <v>12981.7066</v>
      </c>
      <c r="T98" s="1">
        <v>63.589999999999996</v>
      </c>
    </row>
    <row r="99" spans="1:20">
      <c r="A99" s="1" t="s">
        <v>26</v>
      </c>
      <c r="B99">
        <v>2023</v>
      </c>
      <c r="C99">
        <v>28.831</v>
      </c>
      <c r="D99">
        <v>4.8470000000000004</v>
      </c>
      <c r="E99">
        <v>2.633</v>
      </c>
      <c r="F99">
        <v>3.5259999999999998</v>
      </c>
      <c r="G99">
        <v>21.138999999999999</v>
      </c>
      <c r="H99" s="3">
        <v>299429011832</v>
      </c>
      <c r="I99">
        <v>1296.4000000000001</v>
      </c>
      <c r="J99">
        <v>0.36824999999999997</v>
      </c>
      <c r="K99">
        <v>29.28</v>
      </c>
      <c r="L99">
        <v>4.6100000000000003</v>
      </c>
      <c r="M99">
        <v>0.02</v>
      </c>
      <c r="N99">
        <v>0</v>
      </c>
      <c r="O99">
        <v>29.28</v>
      </c>
      <c r="P99">
        <v>3.66</v>
      </c>
      <c r="Q99">
        <v>19.39</v>
      </c>
      <c r="R99">
        <v>85.3</v>
      </c>
      <c r="S99" s="1">
        <v>13369.8336</v>
      </c>
      <c r="T99" s="1">
        <v>63.17</v>
      </c>
    </row>
    <row r="100" spans="1:20">
      <c r="A100" s="1" t="s">
        <v>27</v>
      </c>
      <c r="B100">
        <v>2010</v>
      </c>
      <c r="C100">
        <v>18.965</v>
      </c>
      <c r="D100">
        <v>14.244</v>
      </c>
      <c r="E100">
        <v>14.262</v>
      </c>
      <c r="F100">
        <v>1.3009999999999999</v>
      </c>
      <c r="G100">
        <v>3.0529999999999999</v>
      </c>
      <c r="H100" s="3">
        <v>27586968284</v>
      </c>
      <c r="I100">
        <v>71</v>
      </c>
      <c r="J100">
        <v>9.870000000000001E-2</v>
      </c>
      <c r="K100">
        <v>1.05</v>
      </c>
      <c r="L100">
        <v>11.92</v>
      </c>
      <c r="M100">
        <v>0.03</v>
      </c>
      <c r="N100">
        <v>0</v>
      </c>
      <c r="O100">
        <v>1.05</v>
      </c>
      <c r="P100">
        <v>0</v>
      </c>
      <c r="Q100">
        <v>0.28000000000000003</v>
      </c>
      <c r="R100">
        <v>14.38</v>
      </c>
      <c r="S100" s="1">
        <v>479.45100000000002</v>
      </c>
      <c r="T100" s="1">
        <v>14.020000000000001</v>
      </c>
    </row>
    <row r="101" spans="1:20">
      <c r="A101" s="1" t="s">
        <v>27</v>
      </c>
      <c r="B101">
        <v>2011</v>
      </c>
      <c r="C101">
        <v>18.948</v>
      </c>
      <c r="D101">
        <v>14.275</v>
      </c>
      <c r="E101">
        <v>14.182</v>
      </c>
      <c r="F101">
        <v>1.1639999999999999</v>
      </c>
      <c r="G101">
        <v>3.145</v>
      </c>
      <c r="H101" s="3">
        <v>29217295065</v>
      </c>
      <c r="I101">
        <v>67</v>
      </c>
      <c r="J101">
        <v>0.10075000000000001</v>
      </c>
      <c r="K101">
        <v>1.18</v>
      </c>
      <c r="L101">
        <v>11.71</v>
      </c>
      <c r="M101">
        <v>0.03</v>
      </c>
      <c r="N101">
        <v>0</v>
      </c>
      <c r="O101">
        <v>1.18</v>
      </c>
      <c r="P101">
        <v>0</v>
      </c>
      <c r="Q101">
        <v>0.37</v>
      </c>
      <c r="R101">
        <v>13.07</v>
      </c>
      <c r="S101" s="1">
        <v>538.8116</v>
      </c>
      <c r="T101" s="1">
        <v>14.07</v>
      </c>
    </row>
    <row r="102" spans="1:20">
      <c r="A102" s="1" t="s">
        <v>27</v>
      </c>
      <c r="B102">
        <v>2012</v>
      </c>
      <c r="C102">
        <v>17.760999999999999</v>
      </c>
      <c r="D102">
        <v>13.429</v>
      </c>
      <c r="E102">
        <v>12.602</v>
      </c>
      <c r="F102">
        <v>1.254</v>
      </c>
      <c r="G102">
        <v>3.2280000000000002</v>
      </c>
      <c r="H102" s="3">
        <v>30160490093</v>
      </c>
      <c r="I102">
        <v>82</v>
      </c>
      <c r="J102">
        <v>0.11094999999999999</v>
      </c>
      <c r="K102">
        <v>1.47</v>
      </c>
      <c r="L102">
        <v>10.49</v>
      </c>
      <c r="M102">
        <v>0.04</v>
      </c>
      <c r="N102">
        <v>0</v>
      </c>
      <c r="O102">
        <v>1.47</v>
      </c>
      <c r="P102">
        <v>0</v>
      </c>
      <c r="Q102">
        <v>0.43</v>
      </c>
      <c r="R102">
        <v>7.33</v>
      </c>
      <c r="S102" s="1">
        <v>671.23140000000001</v>
      </c>
      <c r="T102" s="1">
        <v>13.430000000000001</v>
      </c>
    </row>
    <row r="103" spans="1:20">
      <c r="A103" s="1" t="s">
        <v>27</v>
      </c>
      <c r="B103">
        <v>2013</v>
      </c>
      <c r="C103">
        <v>19.634</v>
      </c>
      <c r="D103">
        <v>14.898</v>
      </c>
      <c r="E103">
        <v>14.532</v>
      </c>
      <c r="F103">
        <v>1.194</v>
      </c>
      <c r="G103">
        <v>3.206</v>
      </c>
      <c r="H103" s="3">
        <v>30600421813</v>
      </c>
      <c r="I103">
        <v>59</v>
      </c>
      <c r="J103">
        <v>0.13589999999999999</v>
      </c>
      <c r="K103">
        <v>1.23</v>
      </c>
      <c r="L103">
        <v>12.05</v>
      </c>
      <c r="M103">
        <v>0.03</v>
      </c>
      <c r="N103">
        <v>0</v>
      </c>
      <c r="O103">
        <v>1.23</v>
      </c>
      <c r="P103">
        <v>0</v>
      </c>
      <c r="Q103">
        <v>0.53</v>
      </c>
      <c r="R103">
        <v>4.45</v>
      </c>
      <c r="S103" s="1">
        <v>561.64260000000002</v>
      </c>
      <c r="T103" s="1">
        <v>14.510000000000002</v>
      </c>
    </row>
    <row r="104" spans="1:20">
      <c r="A104" s="1" t="s">
        <v>27</v>
      </c>
      <c r="B104">
        <v>2014</v>
      </c>
      <c r="C104">
        <v>18.783999999999999</v>
      </c>
      <c r="D104">
        <v>14.29</v>
      </c>
      <c r="E104">
        <v>14.071999999999999</v>
      </c>
      <c r="F104">
        <v>1.008</v>
      </c>
      <c r="G104">
        <v>3.23</v>
      </c>
      <c r="H104" s="3">
        <v>31521829560</v>
      </c>
      <c r="I104">
        <v>82</v>
      </c>
      <c r="J104">
        <v>0.13159999999999999</v>
      </c>
      <c r="K104">
        <v>1.39</v>
      </c>
      <c r="L104">
        <v>11.06</v>
      </c>
      <c r="M104">
        <v>0.03</v>
      </c>
      <c r="N104">
        <v>0</v>
      </c>
      <c r="O104">
        <v>1.39</v>
      </c>
      <c r="P104">
        <v>0</v>
      </c>
      <c r="Q104">
        <v>0.6</v>
      </c>
      <c r="R104">
        <v>5.96</v>
      </c>
      <c r="S104" s="1">
        <v>634.70179999999993</v>
      </c>
      <c r="T104" s="1">
        <v>13.840000000000002</v>
      </c>
    </row>
    <row r="105" spans="1:20">
      <c r="A105" s="1" t="s">
        <v>27</v>
      </c>
      <c r="B105">
        <v>2015</v>
      </c>
      <c r="C105">
        <v>15.78</v>
      </c>
      <c r="D105">
        <v>12.004</v>
      </c>
      <c r="E105">
        <v>11.271000000000001</v>
      </c>
      <c r="F105">
        <v>0.90300000000000002</v>
      </c>
      <c r="G105">
        <v>3.3330000000000002</v>
      </c>
      <c r="H105" s="3">
        <v>32106015454</v>
      </c>
      <c r="I105">
        <v>7</v>
      </c>
      <c r="J105">
        <v>0.12964999999999999</v>
      </c>
      <c r="K105">
        <v>1.56</v>
      </c>
      <c r="L105">
        <v>8.59</v>
      </c>
      <c r="M105">
        <v>0.03</v>
      </c>
      <c r="N105">
        <v>0</v>
      </c>
      <c r="O105">
        <v>1.56</v>
      </c>
      <c r="P105">
        <v>0</v>
      </c>
      <c r="Q105">
        <v>0.71</v>
      </c>
      <c r="R105">
        <v>7.68</v>
      </c>
      <c r="S105" s="1">
        <v>712.32720000000006</v>
      </c>
      <c r="T105" s="1">
        <v>11.71</v>
      </c>
    </row>
    <row r="106" spans="1:20">
      <c r="A106" s="1" t="s">
        <v>27</v>
      </c>
      <c r="B106">
        <v>2016</v>
      </c>
      <c r="C106">
        <v>17.433</v>
      </c>
      <c r="D106">
        <v>13.247999999999999</v>
      </c>
      <c r="E106">
        <v>12.763</v>
      </c>
      <c r="F106">
        <v>0.99099999999999999</v>
      </c>
      <c r="G106">
        <v>3.427</v>
      </c>
      <c r="H106" s="3">
        <v>33119083785</v>
      </c>
      <c r="I106">
        <v>23</v>
      </c>
      <c r="J106">
        <v>0.12229999999999999</v>
      </c>
      <c r="K106">
        <v>1.59</v>
      </c>
      <c r="L106">
        <v>10.58</v>
      </c>
      <c r="M106">
        <v>0.04</v>
      </c>
      <c r="N106">
        <v>0</v>
      </c>
      <c r="O106">
        <v>1.59</v>
      </c>
      <c r="P106">
        <v>0.01</v>
      </c>
      <c r="Q106">
        <v>0.59</v>
      </c>
      <c r="R106">
        <v>5.35</v>
      </c>
      <c r="S106" s="1">
        <v>726.0258</v>
      </c>
      <c r="T106" s="1">
        <v>13.76</v>
      </c>
    </row>
    <row r="107" spans="1:20">
      <c r="A107" s="1" t="s">
        <v>27</v>
      </c>
      <c r="B107">
        <v>2017</v>
      </c>
      <c r="C107">
        <v>18.616</v>
      </c>
      <c r="D107">
        <v>14.131</v>
      </c>
      <c r="E107">
        <v>13.877000000000001</v>
      </c>
      <c r="F107">
        <v>0.91200000000000003</v>
      </c>
      <c r="G107">
        <v>3.4350000000000001</v>
      </c>
      <c r="H107" s="3">
        <v>35037377711</v>
      </c>
      <c r="I107">
        <v>45</v>
      </c>
      <c r="J107">
        <v>0.1263</v>
      </c>
      <c r="K107">
        <v>1.86</v>
      </c>
      <c r="L107">
        <v>11.3</v>
      </c>
      <c r="M107">
        <v>0.03</v>
      </c>
      <c r="N107">
        <v>0</v>
      </c>
      <c r="O107">
        <v>1.86</v>
      </c>
      <c r="P107">
        <v>0.01</v>
      </c>
      <c r="Q107">
        <v>0.72</v>
      </c>
      <c r="R107">
        <v>5.83</v>
      </c>
      <c r="S107" s="1">
        <v>849.31320000000005</v>
      </c>
      <c r="T107" s="1">
        <v>15.02</v>
      </c>
    </row>
    <row r="108" spans="1:20">
      <c r="A108" s="1" t="s">
        <v>27</v>
      </c>
      <c r="B108">
        <v>2018</v>
      </c>
      <c r="C108">
        <v>17.800999999999998</v>
      </c>
      <c r="D108">
        <v>13.465</v>
      </c>
      <c r="E108">
        <v>13.063000000000001</v>
      </c>
      <c r="F108">
        <v>0.95799999999999996</v>
      </c>
      <c r="G108">
        <v>3.3969999999999998</v>
      </c>
      <c r="H108" s="3">
        <v>36363239216</v>
      </c>
      <c r="I108">
        <v>44</v>
      </c>
      <c r="J108">
        <v>0.13830000000000001</v>
      </c>
      <c r="K108">
        <v>1.99</v>
      </c>
      <c r="L108">
        <v>10.38</v>
      </c>
      <c r="M108">
        <v>0.01</v>
      </c>
      <c r="N108">
        <v>0</v>
      </c>
      <c r="O108">
        <v>1.99</v>
      </c>
      <c r="P108">
        <v>0.03</v>
      </c>
      <c r="Q108">
        <v>0.64</v>
      </c>
      <c r="R108">
        <v>15.88</v>
      </c>
      <c r="S108" s="1">
        <v>908.67380000000003</v>
      </c>
      <c r="T108" s="1">
        <v>14.360000000000001</v>
      </c>
    </row>
    <row r="109" spans="1:20">
      <c r="A109" s="1" t="s">
        <v>27</v>
      </c>
      <c r="B109">
        <v>2019</v>
      </c>
      <c r="C109">
        <v>12.288</v>
      </c>
      <c r="D109">
        <v>9.2609999999999992</v>
      </c>
      <c r="E109">
        <v>7.7759999999999998</v>
      </c>
      <c r="F109">
        <v>0.88200000000000001</v>
      </c>
      <c r="G109">
        <v>3.2549999999999999</v>
      </c>
      <c r="H109" s="3">
        <v>37723175050</v>
      </c>
      <c r="I109">
        <v>48.695</v>
      </c>
      <c r="J109">
        <v>0.1384</v>
      </c>
      <c r="K109">
        <v>2.14</v>
      </c>
      <c r="L109">
        <v>5.47</v>
      </c>
      <c r="M109">
        <v>0.02</v>
      </c>
      <c r="N109">
        <v>0</v>
      </c>
      <c r="O109">
        <v>2.14</v>
      </c>
      <c r="P109">
        <v>7.0000000000000007E-2</v>
      </c>
      <c r="Q109">
        <v>0.69</v>
      </c>
      <c r="R109">
        <v>24.84</v>
      </c>
      <c r="S109" s="1">
        <v>977.16680000000008</v>
      </c>
      <c r="T109" s="1">
        <v>9.75</v>
      </c>
    </row>
    <row r="110" spans="1:20">
      <c r="A110" s="1" t="s">
        <v>27</v>
      </c>
      <c r="B110">
        <v>2020</v>
      </c>
      <c r="C110">
        <v>9.1980000000000004</v>
      </c>
      <c r="D110">
        <v>6.9180000000000001</v>
      </c>
      <c r="E110">
        <v>5.2770000000000001</v>
      </c>
      <c r="F110">
        <v>0.80600000000000005</v>
      </c>
      <c r="G110">
        <v>3.0289999999999999</v>
      </c>
      <c r="H110" s="3">
        <v>37515273353</v>
      </c>
      <c r="I110">
        <v>3.5</v>
      </c>
      <c r="J110">
        <v>0.12634999999999999</v>
      </c>
      <c r="K110">
        <v>2.97</v>
      </c>
      <c r="L110">
        <v>3.11</v>
      </c>
      <c r="M110">
        <v>0.03</v>
      </c>
      <c r="N110">
        <v>0</v>
      </c>
      <c r="O110">
        <v>2.97</v>
      </c>
      <c r="P110">
        <v>0.25</v>
      </c>
      <c r="Q110">
        <v>0.84</v>
      </c>
      <c r="R110">
        <v>24.75</v>
      </c>
      <c r="S110" s="1">
        <v>1356.1614000000002</v>
      </c>
      <c r="T110" s="1">
        <v>9.0500000000000007</v>
      </c>
    </row>
    <row r="111" spans="1:20">
      <c r="A111" s="1" t="s">
        <v>27</v>
      </c>
      <c r="B111">
        <v>2021</v>
      </c>
      <c r="C111">
        <v>10.391</v>
      </c>
      <c r="D111">
        <v>7.8019999999999996</v>
      </c>
      <c r="E111">
        <v>6.4580000000000002</v>
      </c>
      <c r="F111">
        <v>0.91600000000000004</v>
      </c>
      <c r="G111">
        <v>2.9289999999999998</v>
      </c>
      <c r="H111" s="3">
        <v>40521483538</v>
      </c>
      <c r="I111">
        <v>5.3</v>
      </c>
      <c r="J111">
        <v>0.16314999999999999</v>
      </c>
      <c r="K111">
        <v>2.87</v>
      </c>
      <c r="L111">
        <v>4.32</v>
      </c>
      <c r="M111">
        <v>0.02</v>
      </c>
      <c r="N111">
        <v>0</v>
      </c>
      <c r="O111">
        <v>2.87</v>
      </c>
      <c r="P111">
        <v>0.35</v>
      </c>
      <c r="Q111">
        <v>0.73</v>
      </c>
      <c r="R111">
        <v>53.55</v>
      </c>
      <c r="S111" s="1">
        <v>1310.4994000000002</v>
      </c>
      <c r="T111" s="1">
        <v>10.06</v>
      </c>
    </row>
    <row r="112" spans="1:20">
      <c r="A112" s="1" t="s">
        <v>27</v>
      </c>
      <c r="B112">
        <v>2022</v>
      </c>
      <c r="C112">
        <v>11.965999999999999</v>
      </c>
      <c r="D112">
        <v>8.8629999999999995</v>
      </c>
      <c r="E112">
        <v>8.0860000000000003</v>
      </c>
      <c r="F112">
        <v>0.67900000000000005</v>
      </c>
      <c r="G112">
        <v>3.133</v>
      </c>
      <c r="H112" s="3">
        <v>39999856613</v>
      </c>
      <c r="I112">
        <v>3</v>
      </c>
      <c r="J112">
        <v>0.23530000000000001</v>
      </c>
      <c r="K112">
        <v>2.86</v>
      </c>
      <c r="L112">
        <v>6.08</v>
      </c>
      <c r="M112">
        <v>0.02</v>
      </c>
      <c r="N112">
        <v>0</v>
      </c>
      <c r="O112">
        <v>2.86</v>
      </c>
      <c r="P112">
        <v>0.6</v>
      </c>
      <c r="Q112">
        <v>0.67</v>
      </c>
      <c r="R112">
        <v>80.87</v>
      </c>
      <c r="S112" s="1">
        <v>1305.9331999999999</v>
      </c>
      <c r="T112" s="1">
        <v>11.799999999999999</v>
      </c>
    </row>
    <row r="113" spans="1:20">
      <c r="A113" s="1" t="s">
        <v>27</v>
      </c>
      <c r="B113">
        <v>2023</v>
      </c>
      <c r="C113">
        <v>8.7439999999999998</v>
      </c>
      <c r="D113">
        <v>6.3959999999999999</v>
      </c>
      <c r="E113">
        <v>4.9740000000000002</v>
      </c>
      <c r="F113">
        <v>0.57999999999999996</v>
      </c>
      <c r="G113">
        <v>3.1309999999999998</v>
      </c>
      <c r="H113" s="3">
        <v>39999856613</v>
      </c>
      <c r="I113">
        <v>5.08</v>
      </c>
      <c r="J113">
        <v>0.22494999999999998</v>
      </c>
      <c r="K113">
        <v>2.8</v>
      </c>
      <c r="L113">
        <v>2.94</v>
      </c>
      <c r="M113">
        <v>0.02</v>
      </c>
      <c r="N113">
        <v>0</v>
      </c>
      <c r="O113">
        <v>2.8</v>
      </c>
      <c r="P113">
        <v>0.72</v>
      </c>
      <c r="Q113">
        <v>0.68</v>
      </c>
      <c r="R113">
        <v>85.3</v>
      </c>
      <c r="S113" s="1">
        <v>1278.5359999999998</v>
      </c>
      <c r="T113" s="1">
        <v>8.5399999999999991</v>
      </c>
    </row>
    <row r="114" spans="1:20">
      <c r="A114" s="1" t="s">
        <v>28</v>
      </c>
      <c r="B114">
        <v>2010</v>
      </c>
      <c r="C114">
        <v>64.091999999999999</v>
      </c>
      <c r="D114">
        <v>11.95</v>
      </c>
      <c r="E114">
        <v>29.143999999999998</v>
      </c>
      <c r="F114">
        <v>8.2759999999999998</v>
      </c>
      <c r="G114">
        <v>25.13</v>
      </c>
      <c r="H114" s="3">
        <v>201746033638</v>
      </c>
      <c r="I114">
        <v>6361</v>
      </c>
      <c r="J114">
        <v>0.13475000000000001</v>
      </c>
      <c r="K114">
        <v>46.98</v>
      </c>
      <c r="L114">
        <v>33.659999999999997</v>
      </c>
      <c r="M114">
        <v>12.92</v>
      </c>
      <c r="N114">
        <v>22.8</v>
      </c>
      <c r="O114">
        <v>24.18</v>
      </c>
      <c r="P114">
        <v>0</v>
      </c>
      <c r="Q114">
        <v>0.28999999999999998</v>
      </c>
      <c r="R114">
        <v>14.38</v>
      </c>
      <c r="S114" s="1">
        <v>11041.071599999999</v>
      </c>
      <c r="T114" s="1">
        <v>104.82</v>
      </c>
    </row>
    <row r="115" spans="1:20">
      <c r="A115" s="1" t="s">
        <v>28</v>
      </c>
      <c r="B115">
        <v>2011</v>
      </c>
      <c r="C115">
        <v>56.646000000000001</v>
      </c>
      <c r="D115">
        <v>10.513</v>
      </c>
      <c r="E115">
        <v>24.082000000000001</v>
      </c>
      <c r="F115">
        <v>7.2549999999999999</v>
      </c>
      <c r="G115">
        <v>23.763999999999999</v>
      </c>
      <c r="H115" s="3">
        <v>207084301562</v>
      </c>
      <c r="I115">
        <v>7414</v>
      </c>
      <c r="J115">
        <v>0.15565000000000001</v>
      </c>
      <c r="K115">
        <v>47.37</v>
      </c>
      <c r="L115">
        <v>26.13</v>
      </c>
      <c r="M115">
        <v>12.45</v>
      </c>
      <c r="N115">
        <v>23.19</v>
      </c>
      <c r="O115">
        <v>24.18</v>
      </c>
      <c r="P115">
        <v>0.01</v>
      </c>
      <c r="Q115">
        <v>0.48</v>
      </c>
      <c r="R115">
        <v>13.07</v>
      </c>
      <c r="S115" s="1">
        <v>11041.071599999999</v>
      </c>
      <c r="T115" s="1">
        <v>97.68</v>
      </c>
    </row>
    <row r="116" spans="1:20">
      <c r="A116" s="1" t="s">
        <v>28</v>
      </c>
      <c r="B116">
        <v>2012</v>
      </c>
      <c r="C116">
        <v>51.154000000000003</v>
      </c>
      <c r="D116">
        <v>9.4489999999999998</v>
      </c>
      <c r="E116">
        <v>19.594999999999999</v>
      </c>
      <c r="F116">
        <v>6.4640000000000004</v>
      </c>
      <c r="G116">
        <v>23.67</v>
      </c>
      <c r="H116" s="3">
        <v>204190196792</v>
      </c>
      <c r="I116">
        <v>4229</v>
      </c>
      <c r="J116">
        <v>0.15540000000000001</v>
      </c>
      <c r="K116">
        <v>51.55</v>
      </c>
      <c r="L116">
        <v>18.86</v>
      </c>
      <c r="M116">
        <v>16.86</v>
      </c>
      <c r="N116">
        <v>22.99</v>
      </c>
      <c r="O116">
        <v>28.56</v>
      </c>
      <c r="P116">
        <v>0.01</v>
      </c>
      <c r="Q116">
        <v>0.49</v>
      </c>
      <c r="R116">
        <v>7.33</v>
      </c>
      <c r="S116" s="1">
        <v>13041.0672</v>
      </c>
      <c r="T116" s="1">
        <v>98.97</v>
      </c>
    </row>
    <row r="117" spans="1:20">
      <c r="A117" s="1" t="s">
        <v>28</v>
      </c>
      <c r="B117">
        <v>2013</v>
      </c>
      <c r="C117">
        <v>51.719000000000001</v>
      </c>
      <c r="D117">
        <v>9.5090000000000003</v>
      </c>
      <c r="E117">
        <v>21.359000000000002</v>
      </c>
      <c r="F117">
        <v>6.0650000000000004</v>
      </c>
      <c r="G117">
        <v>22.84</v>
      </c>
      <c r="H117" s="3">
        <v>202349011206</v>
      </c>
      <c r="I117">
        <v>5440</v>
      </c>
      <c r="J117">
        <v>0.15684999999999999</v>
      </c>
      <c r="K117">
        <v>49.24</v>
      </c>
      <c r="L117">
        <v>22.02</v>
      </c>
      <c r="M117">
        <v>12.84</v>
      </c>
      <c r="N117">
        <v>23.61</v>
      </c>
      <c r="O117">
        <v>25.63</v>
      </c>
      <c r="P117">
        <v>0.01</v>
      </c>
      <c r="Q117">
        <v>0.77</v>
      </c>
      <c r="R117">
        <v>4.45</v>
      </c>
      <c r="S117" s="1">
        <v>11703.170599999999</v>
      </c>
      <c r="T117" s="1">
        <v>96.89</v>
      </c>
    </row>
    <row r="118" spans="1:20">
      <c r="A118" s="1" t="s">
        <v>28</v>
      </c>
      <c r="B118">
        <v>2014</v>
      </c>
      <c r="C118">
        <v>47.622</v>
      </c>
      <c r="D118">
        <v>8.7189999999999994</v>
      </c>
      <c r="E118">
        <v>19.326000000000001</v>
      </c>
      <c r="F118">
        <v>5.3940000000000001</v>
      </c>
      <c r="G118">
        <v>21.542000000000002</v>
      </c>
      <c r="H118" s="3">
        <v>201610622550</v>
      </c>
      <c r="I118">
        <v>5865</v>
      </c>
      <c r="J118">
        <v>0.15504999999999999</v>
      </c>
      <c r="K118">
        <v>49.86</v>
      </c>
      <c r="L118">
        <v>18.239999999999998</v>
      </c>
      <c r="M118">
        <v>13.4</v>
      </c>
      <c r="N118">
        <v>23.58</v>
      </c>
      <c r="O118">
        <v>26.28</v>
      </c>
      <c r="P118">
        <v>0.01</v>
      </c>
      <c r="Q118">
        <v>1.1100000000000001</v>
      </c>
      <c r="R118">
        <v>5.96</v>
      </c>
      <c r="S118" s="1">
        <v>11999.973600000001</v>
      </c>
      <c r="T118" s="1">
        <v>94.38</v>
      </c>
    </row>
    <row r="119" spans="1:20">
      <c r="A119" s="1" t="s">
        <v>28</v>
      </c>
      <c r="B119">
        <v>2015</v>
      </c>
      <c r="C119">
        <v>44.192</v>
      </c>
      <c r="D119">
        <v>8.0649999999999995</v>
      </c>
      <c r="E119">
        <v>16.843</v>
      </c>
      <c r="F119">
        <v>4.726</v>
      </c>
      <c r="G119">
        <v>21.384</v>
      </c>
      <c r="H119" s="3">
        <v>202706706722</v>
      </c>
      <c r="I119">
        <v>4047</v>
      </c>
      <c r="J119">
        <v>0.15410000000000001</v>
      </c>
      <c r="K119">
        <v>53.78</v>
      </c>
      <c r="L119">
        <v>14.83</v>
      </c>
      <c r="M119">
        <v>16.77</v>
      </c>
      <c r="N119">
        <v>23.25</v>
      </c>
      <c r="O119">
        <v>30.53</v>
      </c>
      <c r="P119">
        <v>0.01</v>
      </c>
      <c r="Q119">
        <v>2.33</v>
      </c>
      <c r="R119">
        <v>7.68</v>
      </c>
      <c r="S119" s="1">
        <v>13940.608600000001</v>
      </c>
      <c r="T119" s="1">
        <v>99.14</v>
      </c>
    </row>
    <row r="120" spans="1:20">
      <c r="A120" s="1" t="s">
        <v>28</v>
      </c>
      <c r="B120">
        <v>2016</v>
      </c>
      <c r="C120">
        <v>47.252000000000002</v>
      </c>
      <c r="D120">
        <v>8.5980000000000008</v>
      </c>
      <c r="E120">
        <v>18.66</v>
      </c>
      <c r="F120">
        <v>4.2080000000000002</v>
      </c>
      <c r="G120">
        <v>22.939</v>
      </c>
      <c r="H120" s="3">
        <v>208405735062</v>
      </c>
      <c r="I120">
        <v>4335</v>
      </c>
      <c r="J120">
        <v>0.15429999999999999</v>
      </c>
      <c r="K120">
        <v>53.61</v>
      </c>
      <c r="L120">
        <v>15.14</v>
      </c>
      <c r="M120">
        <v>15.8</v>
      </c>
      <c r="N120">
        <v>23.2</v>
      </c>
      <c r="O120">
        <v>30.41</v>
      </c>
      <c r="P120">
        <v>0.02</v>
      </c>
      <c r="Q120">
        <v>3.07</v>
      </c>
      <c r="R120">
        <v>5.35</v>
      </c>
      <c r="S120" s="1">
        <v>13885.814200000001</v>
      </c>
      <c r="T120" s="1">
        <v>99.16</v>
      </c>
    </row>
    <row r="121" spans="1:20">
      <c r="A121" s="1" t="s">
        <v>28</v>
      </c>
      <c r="B121">
        <v>2017</v>
      </c>
      <c r="C121">
        <v>44.656999999999996</v>
      </c>
      <c r="D121">
        <v>8.1069999999999993</v>
      </c>
      <c r="E121">
        <v>17.088000000000001</v>
      </c>
      <c r="F121">
        <v>3.887</v>
      </c>
      <c r="G121">
        <v>22.213000000000001</v>
      </c>
      <c r="H121" s="3">
        <v>215058877437</v>
      </c>
      <c r="I121">
        <v>4225</v>
      </c>
      <c r="J121">
        <v>0.15899999999999997</v>
      </c>
      <c r="K121">
        <v>53.95</v>
      </c>
      <c r="L121">
        <v>13.57</v>
      </c>
      <c r="M121">
        <v>14.77</v>
      </c>
      <c r="N121">
        <v>22.48</v>
      </c>
      <c r="O121">
        <v>31.47</v>
      </c>
      <c r="P121">
        <v>0.05</v>
      </c>
      <c r="Q121">
        <v>4.79</v>
      </c>
      <c r="R121">
        <v>5.83</v>
      </c>
      <c r="S121" s="1">
        <v>14369.831399999999</v>
      </c>
      <c r="T121" s="1">
        <v>98.990000000000009</v>
      </c>
    </row>
    <row r="122" spans="1:20">
      <c r="A122" s="1" t="s">
        <v>28</v>
      </c>
      <c r="B122">
        <v>2018</v>
      </c>
      <c r="C122">
        <v>45.735999999999997</v>
      </c>
      <c r="D122">
        <v>8.2919999999999998</v>
      </c>
      <c r="E122">
        <v>17.923999999999999</v>
      </c>
      <c r="F122">
        <v>4.415</v>
      </c>
      <c r="G122">
        <v>22.044</v>
      </c>
      <c r="H122" s="3">
        <v>217509947213</v>
      </c>
      <c r="I122">
        <v>4420</v>
      </c>
      <c r="J122">
        <v>0.16550000000000001</v>
      </c>
      <c r="K122">
        <v>54.93</v>
      </c>
      <c r="L122">
        <v>15.3</v>
      </c>
      <c r="M122">
        <v>13.3</v>
      </c>
      <c r="N122">
        <v>22.79</v>
      </c>
      <c r="O122">
        <v>32.14</v>
      </c>
      <c r="P122">
        <v>0.09</v>
      </c>
      <c r="Q122">
        <v>5.84</v>
      </c>
      <c r="R122">
        <v>15.88</v>
      </c>
      <c r="S122" s="1">
        <v>14675.766800000001</v>
      </c>
      <c r="T122" s="1">
        <v>102.37</v>
      </c>
    </row>
    <row r="123" spans="1:20">
      <c r="A123" s="1" t="s">
        <v>28</v>
      </c>
      <c r="B123">
        <v>2019</v>
      </c>
      <c r="C123">
        <v>42.444000000000003</v>
      </c>
      <c r="D123">
        <v>7.6870000000000003</v>
      </c>
      <c r="E123">
        <v>15.257</v>
      </c>
      <c r="F123">
        <v>4.3140000000000001</v>
      </c>
      <c r="G123">
        <v>21.648</v>
      </c>
      <c r="H123" s="3">
        <v>220173891564</v>
      </c>
      <c r="I123">
        <v>3478</v>
      </c>
      <c r="J123">
        <v>0.17585000000000001</v>
      </c>
      <c r="K123">
        <v>55.75</v>
      </c>
      <c r="L123">
        <v>12.86</v>
      </c>
      <c r="M123">
        <v>12.42</v>
      </c>
      <c r="N123">
        <v>23.87</v>
      </c>
      <c r="O123">
        <v>31.88</v>
      </c>
      <c r="P123">
        <v>0.15</v>
      </c>
      <c r="Q123">
        <v>6.02</v>
      </c>
      <c r="R123">
        <v>24.84</v>
      </c>
      <c r="S123" s="1">
        <v>14557.045599999999</v>
      </c>
      <c r="T123" s="1">
        <v>100.49</v>
      </c>
    </row>
    <row r="124" spans="1:20">
      <c r="A124" s="1" t="s">
        <v>28</v>
      </c>
      <c r="B124">
        <v>2020</v>
      </c>
      <c r="C124">
        <v>37.72</v>
      </c>
      <c r="D124">
        <v>6.8209999999999997</v>
      </c>
      <c r="E124">
        <v>11.853</v>
      </c>
      <c r="F124">
        <v>4.3819999999999997</v>
      </c>
      <c r="G124">
        <v>20.260999999999999</v>
      </c>
      <c r="H124" s="3">
        <v>214988893865</v>
      </c>
      <c r="I124">
        <v>2733</v>
      </c>
      <c r="J124">
        <v>0.17565</v>
      </c>
      <c r="K124">
        <v>59.22</v>
      </c>
      <c r="L124">
        <v>10.02</v>
      </c>
      <c r="M124">
        <v>15.88</v>
      </c>
      <c r="N124">
        <v>23.29</v>
      </c>
      <c r="O124">
        <v>35.93</v>
      </c>
      <c r="P124">
        <v>0.22</v>
      </c>
      <c r="Q124">
        <v>8.26</v>
      </c>
      <c r="R124">
        <v>24.75</v>
      </c>
      <c r="S124" s="1">
        <v>16406.356599999999</v>
      </c>
      <c r="T124" s="1">
        <v>105.16999999999999</v>
      </c>
    </row>
    <row r="125" spans="1:20">
      <c r="A125" s="1" t="s">
        <v>28</v>
      </c>
      <c r="B125">
        <v>2021</v>
      </c>
      <c r="C125">
        <v>37.82</v>
      </c>
      <c r="D125">
        <v>6.8250000000000002</v>
      </c>
      <c r="E125">
        <v>12.711</v>
      </c>
      <c r="F125">
        <v>4.3559999999999999</v>
      </c>
      <c r="G125">
        <v>19.468</v>
      </c>
      <c r="H125" s="3">
        <v>221538476826</v>
      </c>
      <c r="I125">
        <v>2353</v>
      </c>
      <c r="J125">
        <v>0.18035000000000001</v>
      </c>
      <c r="K125">
        <v>61.78</v>
      </c>
      <c r="L125">
        <v>10.33</v>
      </c>
      <c r="M125">
        <v>15.79</v>
      </c>
      <c r="N125">
        <v>23.6</v>
      </c>
      <c r="O125">
        <v>38.18</v>
      </c>
      <c r="P125">
        <v>0.3</v>
      </c>
      <c r="Q125">
        <v>8.51</v>
      </c>
      <c r="R125">
        <v>53.55</v>
      </c>
      <c r="S125" s="1">
        <v>17433.7516</v>
      </c>
      <c r="T125" s="1">
        <v>110.28999999999999</v>
      </c>
    </row>
    <row r="126" spans="1:20">
      <c r="A126" s="1" t="s">
        <v>28</v>
      </c>
      <c r="B126">
        <v>2022</v>
      </c>
      <c r="C126">
        <v>36.337000000000003</v>
      </c>
      <c r="D126">
        <v>6.5250000000000004</v>
      </c>
      <c r="E126">
        <v>12.579000000000001</v>
      </c>
      <c r="F126">
        <v>2.41</v>
      </c>
      <c r="G126">
        <v>20.123999999999999</v>
      </c>
      <c r="H126" s="3">
        <v>226154847456</v>
      </c>
      <c r="I126">
        <v>4319</v>
      </c>
      <c r="J126">
        <v>0.22039999999999998</v>
      </c>
      <c r="K126">
        <v>64</v>
      </c>
      <c r="L126">
        <v>8.17</v>
      </c>
      <c r="M126">
        <v>13.49</v>
      </c>
      <c r="N126">
        <v>25.34</v>
      </c>
      <c r="O126">
        <v>38.659999999999997</v>
      </c>
      <c r="P126">
        <v>0.39</v>
      </c>
      <c r="Q126">
        <v>12.02</v>
      </c>
      <c r="R126">
        <v>80.87</v>
      </c>
      <c r="S126" s="1">
        <v>17652.929199999999</v>
      </c>
      <c r="T126" s="1">
        <v>110.83</v>
      </c>
    </row>
    <row r="127" spans="1:20">
      <c r="A127" s="1" t="s">
        <v>28</v>
      </c>
      <c r="B127">
        <v>2023</v>
      </c>
      <c r="C127">
        <v>31.798999999999999</v>
      </c>
      <c r="D127">
        <v>5.6769999999999996</v>
      </c>
      <c r="E127">
        <v>9.391</v>
      </c>
      <c r="F127">
        <v>2.5750000000000002</v>
      </c>
      <c r="G127">
        <v>18.806000000000001</v>
      </c>
      <c r="H127" s="3">
        <v>226154847456</v>
      </c>
      <c r="I127">
        <v>1887</v>
      </c>
      <c r="J127">
        <v>0.248</v>
      </c>
      <c r="K127">
        <v>76.61</v>
      </c>
      <c r="L127">
        <v>4.91</v>
      </c>
      <c r="M127">
        <v>15.2</v>
      </c>
      <c r="N127">
        <v>34.31</v>
      </c>
      <c r="O127">
        <v>42.3</v>
      </c>
      <c r="P127">
        <v>0.72</v>
      </c>
      <c r="Q127">
        <v>15.04</v>
      </c>
      <c r="R127">
        <v>85.3</v>
      </c>
      <c r="S127" s="1">
        <v>19315.025999999998</v>
      </c>
      <c r="T127" s="1">
        <v>123.82</v>
      </c>
    </row>
    <row r="128" spans="1:20">
      <c r="A128" s="1" t="s">
        <v>29</v>
      </c>
      <c r="B128">
        <v>2010</v>
      </c>
      <c r="C128">
        <v>377.07900000000001</v>
      </c>
      <c r="D128">
        <v>5.9459999999999997</v>
      </c>
      <c r="E128">
        <v>49.070999999999998</v>
      </c>
      <c r="F128">
        <v>96.134</v>
      </c>
      <c r="G128">
        <v>215.85400000000001</v>
      </c>
      <c r="H128" s="3">
        <v>2342490492199</v>
      </c>
      <c r="I128">
        <v>19005</v>
      </c>
      <c r="J128">
        <v>0.13164999999999999</v>
      </c>
      <c r="K128">
        <v>505.2</v>
      </c>
      <c r="L128">
        <v>57.16</v>
      </c>
      <c r="M128">
        <v>61.2</v>
      </c>
      <c r="N128">
        <v>428.52</v>
      </c>
      <c r="O128">
        <v>76.680000000000007</v>
      </c>
      <c r="P128">
        <v>0.62</v>
      </c>
      <c r="Q128">
        <v>9.94</v>
      </c>
      <c r="R128">
        <v>14.38</v>
      </c>
      <c r="S128" s="1">
        <v>35013.621600000006</v>
      </c>
      <c r="T128" s="1">
        <v>639.04</v>
      </c>
    </row>
    <row r="129" spans="1:20">
      <c r="A129" s="1" t="s">
        <v>29</v>
      </c>
      <c r="B129">
        <v>2011</v>
      </c>
      <c r="C129">
        <v>355.12700000000001</v>
      </c>
      <c r="D129">
        <v>5.5720000000000001</v>
      </c>
      <c r="E129">
        <v>42.168999999999997</v>
      </c>
      <c r="F129">
        <v>87.85</v>
      </c>
      <c r="G129">
        <v>208.90700000000001</v>
      </c>
      <c r="H129" s="3">
        <v>2393401943613</v>
      </c>
      <c r="I129">
        <v>17502</v>
      </c>
      <c r="J129">
        <v>0.14024999999999999</v>
      </c>
      <c r="K129">
        <v>508.41</v>
      </c>
      <c r="L129">
        <v>59.25</v>
      </c>
      <c r="M129">
        <v>45.74</v>
      </c>
      <c r="N129">
        <v>442.39</v>
      </c>
      <c r="O129">
        <v>66.02</v>
      </c>
      <c r="P129">
        <v>2.33</v>
      </c>
      <c r="Q129">
        <v>12.37</v>
      </c>
      <c r="R129">
        <v>13.07</v>
      </c>
      <c r="S129" s="1">
        <v>30146.052399999997</v>
      </c>
      <c r="T129" s="1">
        <v>633.68000000000006</v>
      </c>
    </row>
    <row r="130" spans="1:20">
      <c r="A130" s="1" t="s">
        <v>29</v>
      </c>
      <c r="B130">
        <v>2012</v>
      </c>
      <c r="C130">
        <v>358.1</v>
      </c>
      <c r="D130">
        <v>5.59</v>
      </c>
      <c r="E130">
        <v>46.930999999999997</v>
      </c>
      <c r="F130">
        <v>90.837000000000003</v>
      </c>
      <c r="G130">
        <v>205.35400000000001</v>
      </c>
      <c r="H130" s="3">
        <v>2400896391731</v>
      </c>
      <c r="I130">
        <v>18508</v>
      </c>
      <c r="J130">
        <v>0.14465</v>
      </c>
      <c r="K130">
        <v>510.66</v>
      </c>
      <c r="L130">
        <v>56.93</v>
      </c>
      <c r="M130">
        <v>59.83</v>
      </c>
      <c r="N130">
        <v>425.41</v>
      </c>
      <c r="O130">
        <v>85.25</v>
      </c>
      <c r="P130">
        <v>4.43</v>
      </c>
      <c r="Q130">
        <v>15.18</v>
      </c>
      <c r="R130">
        <v>7.33</v>
      </c>
      <c r="S130" s="1">
        <v>38926.855000000003</v>
      </c>
      <c r="T130" s="1">
        <v>652.84</v>
      </c>
    </row>
    <row r="131" spans="1:20">
      <c r="A131" s="1" t="s">
        <v>29</v>
      </c>
      <c r="B131">
        <v>2013</v>
      </c>
      <c r="C131">
        <v>360.01299999999998</v>
      </c>
      <c r="D131">
        <v>5.5910000000000002</v>
      </c>
      <c r="E131">
        <v>49.664000000000001</v>
      </c>
      <c r="F131">
        <v>91.385999999999996</v>
      </c>
      <c r="G131">
        <v>204.28700000000001</v>
      </c>
      <c r="H131" s="3">
        <v>2414733629218</v>
      </c>
      <c r="I131">
        <v>18915</v>
      </c>
      <c r="J131">
        <v>0.156</v>
      </c>
      <c r="K131">
        <v>523.11</v>
      </c>
      <c r="L131">
        <v>53.64</v>
      </c>
      <c r="M131">
        <v>71.92</v>
      </c>
      <c r="N131">
        <v>423.68</v>
      </c>
      <c r="O131">
        <v>99.43</v>
      </c>
      <c r="P131">
        <v>5.19</v>
      </c>
      <c r="Q131">
        <v>16.14</v>
      </c>
      <c r="R131">
        <v>4.45</v>
      </c>
      <c r="S131" s="1">
        <v>45401.726600000002</v>
      </c>
      <c r="T131" s="1">
        <v>676.18000000000006</v>
      </c>
    </row>
    <row r="132" spans="1:20">
      <c r="A132" s="1" t="s">
        <v>29</v>
      </c>
      <c r="B132">
        <v>2014</v>
      </c>
      <c r="C132">
        <v>327.80900000000003</v>
      </c>
      <c r="D132">
        <v>5.0670000000000002</v>
      </c>
      <c r="E132">
        <v>39.548000000000002</v>
      </c>
      <c r="F132">
        <v>76.453999999999994</v>
      </c>
      <c r="G132">
        <v>197.64099999999999</v>
      </c>
      <c r="H132" s="3">
        <v>2437822780219</v>
      </c>
      <c r="I132">
        <v>14834</v>
      </c>
      <c r="J132">
        <v>0.16435</v>
      </c>
      <c r="K132">
        <v>530.51</v>
      </c>
      <c r="L132">
        <v>35.799999999999997</v>
      </c>
      <c r="M132">
        <v>63.77</v>
      </c>
      <c r="N132">
        <v>436.48</v>
      </c>
      <c r="O132">
        <v>94.03</v>
      </c>
      <c r="P132">
        <v>6.39</v>
      </c>
      <c r="Q132">
        <v>17.32</v>
      </c>
      <c r="R132">
        <v>5.96</v>
      </c>
      <c r="S132" s="1">
        <v>42935.978600000002</v>
      </c>
      <c r="T132" s="1">
        <v>660.33999999999992</v>
      </c>
    </row>
    <row r="133" spans="1:20">
      <c r="A133" s="1" t="s">
        <v>29</v>
      </c>
      <c r="B133">
        <v>2015</v>
      </c>
      <c r="C133">
        <v>332.13099999999997</v>
      </c>
      <c r="D133">
        <v>5.1159999999999997</v>
      </c>
      <c r="E133">
        <v>38.024000000000001</v>
      </c>
      <c r="F133">
        <v>81.391999999999996</v>
      </c>
      <c r="G133">
        <v>199.23099999999999</v>
      </c>
      <c r="H133" s="3">
        <v>2464953810985</v>
      </c>
      <c r="I133">
        <v>13984</v>
      </c>
      <c r="J133">
        <v>0.16789999999999999</v>
      </c>
      <c r="K133">
        <v>529.27</v>
      </c>
      <c r="L133">
        <v>44.88</v>
      </c>
      <c r="M133">
        <v>55.56</v>
      </c>
      <c r="N133">
        <v>437.43</v>
      </c>
      <c r="O133">
        <v>91.84</v>
      </c>
      <c r="P133">
        <v>7.75</v>
      </c>
      <c r="Q133">
        <v>21.42</v>
      </c>
      <c r="R133">
        <v>7.68</v>
      </c>
      <c r="S133" s="1">
        <v>41935.980800000005</v>
      </c>
      <c r="T133" s="1">
        <v>665.99</v>
      </c>
    </row>
    <row r="134" spans="1:20">
      <c r="A134" s="1" t="s">
        <v>29</v>
      </c>
      <c r="B134">
        <v>2016</v>
      </c>
      <c r="C134">
        <v>335.49599999999998</v>
      </c>
      <c r="D134">
        <v>5.1550000000000002</v>
      </c>
      <c r="E134">
        <v>36.015999999999998</v>
      </c>
      <c r="F134">
        <v>89.260999999999996</v>
      </c>
      <c r="G134">
        <v>196.89599999999999</v>
      </c>
      <c r="H134" s="3">
        <v>2491956183265</v>
      </c>
      <c r="I134">
        <v>13108</v>
      </c>
      <c r="J134">
        <v>0.16980000000000001</v>
      </c>
      <c r="K134">
        <v>502.2</v>
      </c>
      <c r="L134">
        <v>56.64</v>
      </c>
      <c r="M134">
        <v>60.84</v>
      </c>
      <c r="N134">
        <v>403.2</v>
      </c>
      <c r="O134">
        <v>99</v>
      </c>
      <c r="P134">
        <v>8.66</v>
      </c>
      <c r="Q134">
        <v>21.38</v>
      </c>
      <c r="R134">
        <v>5.35</v>
      </c>
      <c r="S134" s="1">
        <v>45205.38</v>
      </c>
      <c r="T134" s="1">
        <v>657.84</v>
      </c>
    </row>
    <row r="135" spans="1:20">
      <c r="A135" s="1" t="s">
        <v>29</v>
      </c>
      <c r="B135">
        <v>2017</v>
      </c>
      <c r="C135">
        <v>338.36799999999999</v>
      </c>
      <c r="D135">
        <v>5.1829999999999998</v>
      </c>
      <c r="E135">
        <v>39.997</v>
      </c>
      <c r="F135">
        <v>89.406000000000006</v>
      </c>
      <c r="G135">
        <v>195.911</v>
      </c>
      <c r="H135" s="3">
        <v>2549057506683</v>
      </c>
      <c r="I135">
        <v>15593.812</v>
      </c>
      <c r="J135">
        <v>0.17299999999999999</v>
      </c>
      <c r="K135">
        <v>490.27</v>
      </c>
      <c r="L135">
        <v>65.47</v>
      </c>
      <c r="M135">
        <v>50</v>
      </c>
      <c r="N135">
        <v>398.36</v>
      </c>
      <c r="O135">
        <v>91.91</v>
      </c>
      <c r="P135">
        <v>8.8699999999999992</v>
      </c>
      <c r="Q135">
        <v>24.61</v>
      </c>
      <c r="R135">
        <v>5.83</v>
      </c>
      <c r="S135" s="1">
        <v>41967.944199999998</v>
      </c>
      <c r="T135" s="1">
        <v>647.65</v>
      </c>
    </row>
    <row r="136" spans="1:20">
      <c r="A136" s="1" t="s">
        <v>29</v>
      </c>
      <c r="B136">
        <v>2018</v>
      </c>
      <c r="C136">
        <v>323.10199999999998</v>
      </c>
      <c r="D136">
        <v>4.931</v>
      </c>
      <c r="E136">
        <v>35.125999999999998</v>
      </c>
      <c r="F136">
        <v>84.89</v>
      </c>
      <c r="G136">
        <v>189.446</v>
      </c>
      <c r="H136" s="3">
        <v>2596599107835</v>
      </c>
      <c r="I136">
        <v>14095.619000000001</v>
      </c>
      <c r="J136">
        <v>0.17735000000000001</v>
      </c>
      <c r="K136">
        <v>526.79</v>
      </c>
      <c r="L136">
        <v>49.45</v>
      </c>
      <c r="M136">
        <v>65.11</v>
      </c>
      <c r="N136">
        <v>412.94</v>
      </c>
      <c r="O136">
        <v>113.85</v>
      </c>
      <c r="P136">
        <v>11.15</v>
      </c>
      <c r="Q136">
        <v>28.6</v>
      </c>
      <c r="R136">
        <v>15.88</v>
      </c>
      <c r="S136" s="1">
        <v>51986.186999999998</v>
      </c>
      <c r="T136" s="1">
        <v>690.09</v>
      </c>
    </row>
    <row r="137" spans="1:20">
      <c r="A137" s="1" t="s">
        <v>29</v>
      </c>
      <c r="B137">
        <v>2019</v>
      </c>
      <c r="C137">
        <v>316.32100000000003</v>
      </c>
      <c r="D137">
        <v>4.8120000000000003</v>
      </c>
      <c r="E137">
        <v>29.425999999999998</v>
      </c>
      <c r="F137">
        <v>86.387</v>
      </c>
      <c r="G137">
        <v>187.285</v>
      </c>
      <c r="H137" s="3">
        <v>2644453795826</v>
      </c>
      <c r="I137">
        <v>10984.974</v>
      </c>
      <c r="J137">
        <v>0.18454999999999999</v>
      </c>
      <c r="K137">
        <v>511.91</v>
      </c>
      <c r="L137">
        <v>53.61</v>
      </c>
      <c r="M137">
        <v>56.91</v>
      </c>
      <c r="N137">
        <v>399.01</v>
      </c>
      <c r="O137">
        <v>112.9</v>
      </c>
      <c r="P137">
        <v>12.02</v>
      </c>
      <c r="Q137">
        <v>34.72</v>
      </c>
      <c r="R137">
        <v>24.84</v>
      </c>
      <c r="S137" s="1">
        <v>51552.398000000001</v>
      </c>
      <c r="T137" s="1">
        <v>678.42</v>
      </c>
    </row>
    <row r="138" spans="1:20">
      <c r="A138" s="1" t="s">
        <v>29</v>
      </c>
      <c r="B138">
        <v>2020</v>
      </c>
      <c r="C138">
        <v>281.51499999999999</v>
      </c>
      <c r="D138">
        <v>4.2720000000000002</v>
      </c>
      <c r="E138">
        <v>23.853999999999999</v>
      </c>
      <c r="F138">
        <v>80.064999999999998</v>
      </c>
      <c r="G138">
        <v>165.54300000000001</v>
      </c>
      <c r="H138" s="3">
        <v>2438594133224</v>
      </c>
      <c r="I138">
        <v>7703.9110000000001</v>
      </c>
      <c r="J138">
        <v>0.19255</v>
      </c>
      <c r="K138">
        <v>478.86</v>
      </c>
      <c r="L138">
        <v>48.39</v>
      </c>
      <c r="M138">
        <v>62.52</v>
      </c>
      <c r="N138">
        <v>353.83</v>
      </c>
      <c r="O138">
        <v>125.03</v>
      </c>
      <c r="P138">
        <v>13.09</v>
      </c>
      <c r="Q138">
        <v>40.049999999999997</v>
      </c>
      <c r="R138">
        <v>24.75</v>
      </c>
      <c r="S138" s="1">
        <v>57091.198600000003</v>
      </c>
      <c r="T138" s="1">
        <v>652.28</v>
      </c>
    </row>
    <row r="139" spans="1:20">
      <c r="A139" s="1" t="s">
        <v>29</v>
      </c>
      <c r="B139">
        <v>2021</v>
      </c>
      <c r="C139">
        <v>307.27199999999999</v>
      </c>
      <c r="D139">
        <v>4.6500000000000004</v>
      </c>
      <c r="E139">
        <v>30.472000000000001</v>
      </c>
      <c r="F139">
        <v>85.402000000000001</v>
      </c>
      <c r="G139">
        <v>179.12200000000001</v>
      </c>
      <c r="H139" s="3">
        <v>2604822841790</v>
      </c>
      <c r="I139">
        <v>9371.8709999999992</v>
      </c>
      <c r="J139">
        <v>0.19839999999999999</v>
      </c>
      <c r="K139">
        <v>501.46</v>
      </c>
      <c r="L139">
        <v>48.85</v>
      </c>
      <c r="M139">
        <v>59.54</v>
      </c>
      <c r="N139">
        <v>379.36</v>
      </c>
      <c r="O139">
        <v>122.1</v>
      </c>
      <c r="P139">
        <v>15.28</v>
      </c>
      <c r="Q139">
        <v>37.119999999999997</v>
      </c>
      <c r="R139">
        <v>53.55</v>
      </c>
      <c r="S139" s="1">
        <v>55753.301999999996</v>
      </c>
      <c r="T139" s="1">
        <v>672.41</v>
      </c>
    </row>
    <row r="140" spans="1:20">
      <c r="A140" s="1" t="s">
        <v>29</v>
      </c>
      <c r="B140">
        <v>2022</v>
      </c>
      <c r="C140">
        <v>295.30399999999997</v>
      </c>
      <c r="D140">
        <v>4.4560000000000004</v>
      </c>
      <c r="E140">
        <v>26.199000000000002</v>
      </c>
      <c r="F140">
        <v>77.656000000000006</v>
      </c>
      <c r="G140">
        <v>179.255</v>
      </c>
      <c r="H140" s="3">
        <v>2671568767031</v>
      </c>
      <c r="I140">
        <v>9126.3539999999994</v>
      </c>
      <c r="J140">
        <v>0.21479999999999999</v>
      </c>
      <c r="K140">
        <v>408.02</v>
      </c>
      <c r="L140">
        <v>60.35</v>
      </c>
      <c r="M140">
        <v>45.48</v>
      </c>
      <c r="N140">
        <v>294.73</v>
      </c>
      <c r="O140">
        <v>113.29</v>
      </c>
      <c r="P140">
        <v>19.34</v>
      </c>
      <c r="Q140">
        <v>38.200000000000003</v>
      </c>
      <c r="R140">
        <v>80.87</v>
      </c>
      <c r="S140" s="1">
        <v>51730.479800000001</v>
      </c>
      <c r="T140" s="1">
        <v>581.66</v>
      </c>
    </row>
    <row r="141" spans="1:20">
      <c r="A141" s="1" t="s">
        <v>29</v>
      </c>
      <c r="B141">
        <v>2023</v>
      </c>
      <c r="C141">
        <v>270.26299999999998</v>
      </c>
      <c r="D141">
        <v>4.0679999999999996</v>
      </c>
      <c r="E141">
        <v>19.542000000000002</v>
      </c>
      <c r="F141">
        <v>67.156999999999996</v>
      </c>
      <c r="G141">
        <v>172.22900000000001</v>
      </c>
      <c r="H141" s="3">
        <v>2671568767031</v>
      </c>
      <c r="I141">
        <v>6720.7790000000005</v>
      </c>
      <c r="J141">
        <v>0.24454999999999999</v>
      </c>
      <c r="K141">
        <v>477.69</v>
      </c>
      <c r="L141">
        <v>41.06</v>
      </c>
      <c r="M141">
        <v>55.9</v>
      </c>
      <c r="N141">
        <v>338.2</v>
      </c>
      <c r="O141">
        <v>139.49</v>
      </c>
      <c r="P141">
        <v>22.59</v>
      </c>
      <c r="Q141">
        <v>50.48</v>
      </c>
      <c r="R141">
        <v>85.3</v>
      </c>
      <c r="S141" s="1">
        <v>63693.923800000004</v>
      </c>
      <c r="T141" s="1">
        <v>658.24</v>
      </c>
    </row>
    <row r="142" spans="1:20">
      <c r="A142" s="1" t="s">
        <v>30</v>
      </c>
      <c r="B142">
        <v>2010</v>
      </c>
      <c r="C142">
        <v>826.70500000000004</v>
      </c>
      <c r="D142">
        <v>10.228</v>
      </c>
      <c r="E142">
        <v>341.31099999999998</v>
      </c>
      <c r="F142">
        <v>184.875</v>
      </c>
      <c r="G142">
        <v>277.154</v>
      </c>
      <c r="H142" s="3">
        <v>3301123203586</v>
      </c>
      <c r="I142">
        <v>50484</v>
      </c>
      <c r="J142">
        <v>0.24064999999999998</v>
      </c>
      <c r="K142">
        <v>245.97</v>
      </c>
      <c r="L142">
        <v>378.24</v>
      </c>
      <c r="M142">
        <v>20.95</v>
      </c>
      <c r="N142">
        <v>140.56</v>
      </c>
      <c r="O142">
        <v>105.41</v>
      </c>
      <c r="P142">
        <v>11.96</v>
      </c>
      <c r="Q142">
        <v>38.549999999999997</v>
      </c>
      <c r="R142">
        <v>14.38</v>
      </c>
      <c r="S142" s="1">
        <v>48132.314200000001</v>
      </c>
      <c r="T142" s="1">
        <v>729.62</v>
      </c>
    </row>
    <row r="143" spans="1:20">
      <c r="A143" s="1" t="s">
        <v>30</v>
      </c>
      <c r="B143">
        <v>2011</v>
      </c>
      <c r="C143">
        <v>804.54200000000003</v>
      </c>
      <c r="D143">
        <v>9.9499999999999993</v>
      </c>
      <c r="E143">
        <v>339.62400000000002</v>
      </c>
      <c r="F143">
        <v>169.399</v>
      </c>
      <c r="G143">
        <v>270.80900000000003</v>
      </c>
      <c r="H143" s="3">
        <v>3467712967640</v>
      </c>
      <c r="I143">
        <v>51916</v>
      </c>
      <c r="J143">
        <v>0.25295000000000001</v>
      </c>
      <c r="K143">
        <v>232.4</v>
      </c>
      <c r="L143">
        <v>372.6</v>
      </c>
      <c r="M143">
        <v>17.670000000000002</v>
      </c>
      <c r="N143">
        <v>107.97</v>
      </c>
      <c r="O143">
        <v>124.43</v>
      </c>
      <c r="P143">
        <v>19.989999999999998</v>
      </c>
      <c r="Q143">
        <v>49.86</v>
      </c>
      <c r="R143">
        <v>13.07</v>
      </c>
      <c r="S143" s="1">
        <v>56817.226600000002</v>
      </c>
      <c r="T143" s="1">
        <v>729.43000000000006</v>
      </c>
    </row>
    <row r="144" spans="1:20">
      <c r="A144" s="1" t="s">
        <v>30</v>
      </c>
      <c r="B144">
        <v>2012</v>
      </c>
      <c r="C144">
        <v>814.09299999999996</v>
      </c>
      <c r="D144">
        <v>10.061</v>
      </c>
      <c r="E144">
        <v>350.03899999999999</v>
      </c>
      <c r="F144">
        <v>167.84</v>
      </c>
      <c r="G144">
        <v>271.94499999999999</v>
      </c>
      <c r="H144" s="3">
        <v>3482225441398</v>
      </c>
      <c r="I144">
        <v>52479</v>
      </c>
      <c r="J144">
        <v>0.26355000000000001</v>
      </c>
      <c r="K144">
        <v>242.86</v>
      </c>
      <c r="L144">
        <v>376.95</v>
      </c>
      <c r="M144">
        <v>21.75</v>
      </c>
      <c r="N144">
        <v>99.46</v>
      </c>
      <c r="O144">
        <v>143.4</v>
      </c>
      <c r="P144">
        <v>26.74</v>
      </c>
      <c r="Q144">
        <v>51.68</v>
      </c>
      <c r="R144">
        <v>7.33</v>
      </c>
      <c r="S144" s="1">
        <v>65479.308000000005</v>
      </c>
      <c r="T144" s="1">
        <v>763.20999999999992</v>
      </c>
    </row>
    <row r="145" spans="1:20">
      <c r="A145" s="1" t="s">
        <v>30</v>
      </c>
      <c r="B145">
        <v>2013</v>
      </c>
      <c r="C145">
        <v>831.74599999999998</v>
      </c>
      <c r="D145">
        <v>10.263</v>
      </c>
      <c r="E145">
        <v>357.25400000000002</v>
      </c>
      <c r="F145">
        <v>170.26900000000001</v>
      </c>
      <c r="G145">
        <v>280.39600000000002</v>
      </c>
      <c r="H145" s="3">
        <v>3497463140441</v>
      </c>
      <c r="I145">
        <v>58034</v>
      </c>
      <c r="J145">
        <v>0.29200000000000004</v>
      </c>
      <c r="K145">
        <v>249.24</v>
      </c>
      <c r="L145">
        <v>380.45</v>
      </c>
      <c r="M145">
        <v>23</v>
      </c>
      <c r="N145">
        <v>97.29</v>
      </c>
      <c r="O145">
        <v>151.94999999999999</v>
      </c>
      <c r="P145">
        <v>30.62</v>
      </c>
      <c r="Q145">
        <v>52.74</v>
      </c>
      <c r="R145">
        <v>4.45</v>
      </c>
      <c r="S145" s="1">
        <v>69383.409</v>
      </c>
      <c r="T145" s="1">
        <v>781.6400000000001</v>
      </c>
    </row>
    <row r="146" spans="1:20">
      <c r="A146" s="1" t="s">
        <v>30</v>
      </c>
      <c r="B146">
        <v>2014</v>
      </c>
      <c r="C146">
        <v>792.58399999999995</v>
      </c>
      <c r="D146">
        <v>9.74</v>
      </c>
      <c r="E146">
        <v>344.72199999999998</v>
      </c>
      <c r="F146">
        <v>151.989</v>
      </c>
      <c r="G146">
        <v>271.60300000000001</v>
      </c>
      <c r="H146" s="3">
        <v>3574741315261</v>
      </c>
      <c r="I146">
        <v>57453</v>
      </c>
      <c r="J146">
        <v>0.29774999999999996</v>
      </c>
      <c r="K146">
        <v>259.06</v>
      </c>
      <c r="L146">
        <v>359.69</v>
      </c>
      <c r="M146">
        <v>19.59</v>
      </c>
      <c r="N146">
        <v>97.13</v>
      </c>
      <c r="O146">
        <v>161.93</v>
      </c>
      <c r="P146">
        <v>35.450000000000003</v>
      </c>
      <c r="Q146">
        <v>58.5</v>
      </c>
      <c r="R146">
        <v>5.96</v>
      </c>
      <c r="S146" s="1">
        <v>73940.476600000009</v>
      </c>
      <c r="T146" s="1">
        <v>780.68000000000006</v>
      </c>
    </row>
    <row r="147" spans="1:20">
      <c r="A147" s="1" t="s">
        <v>30</v>
      </c>
      <c r="B147">
        <v>2015</v>
      </c>
      <c r="C147">
        <v>800.82299999999998</v>
      </c>
      <c r="D147">
        <v>9.7569999999999997</v>
      </c>
      <c r="E147">
        <v>341.11700000000002</v>
      </c>
      <c r="F147">
        <v>157.11199999999999</v>
      </c>
      <c r="G147">
        <v>278.86099999999999</v>
      </c>
      <c r="H147" s="3">
        <v>3628073946157</v>
      </c>
      <c r="I147">
        <v>57637</v>
      </c>
      <c r="J147">
        <v>0.29484999999999995</v>
      </c>
      <c r="K147">
        <v>279.93</v>
      </c>
      <c r="L147">
        <v>359.24</v>
      </c>
      <c r="M147">
        <v>18.98</v>
      </c>
      <c r="N147">
        <v>91.79</v>
      </c>
      <c r="O147">
        <v>188.14</v>
      </c>
      <c r="P147">
        <v>38.08</v>
      </c>
      <c r="Q147">
        <v>80.62</v>
      </c>
      <c r="R147">
        <v>7.68</v>
      </c>
      <c r="S147" s="1">
        <v>85908.486799999999</v>
      </c>
      <c r="T147" s="1">
        <v>827.31000000000006</v>
      </c>
    </row>
    <row r="148" spans="1:20">
      <c r="A148" s="1" t="s">
        <v>30</v>
      </c>
      <c r="B148">
        <v>2016</v>
      </c>
      <c r="C148">
        <v>797.98800000000006</v>
      </c>
      <c r="D148">
        <v>9.6419999999999995</v>
      </c>
      <c r="E148">
        <v>329.43599999999998</v>
      </c>
      <c r="F148">
        <v>169.16900000000001</v>
      </c>
      <c r="G148">
        <v>275.70400000000001</v>
      </c>
      <c r="H148" s="3">
        <v>3708979940863</v>
      </c>
      <c r="I148">
        <v>60327</v>
      </c>
      <c r="J148">
        <v>0.29730000000000001</v>
      </c>
      <c r="K148">
        <v>273.76</v>
      </c>
      <c r="L148">
        <v>367.76</v>
      </c>
      <c r="M148">
        <v>20.55</v>
      </c>
      <c r="N148">
        <v>84.63</v>
      </c>
      <c r="O148">
        <v>189.13</v>
      </c>
      <c r="P148">
        <v>37.56</v>
      </c>
      <c r="Q148">
        <v>79.92</v>
      </c>
      <c r="R148">
        <v>5.35</v>
      </c>
      <c r="S148" s="1">
        <v>86360.540599999993</v>
      </c>
      <c r="T148" s="1">
        <v>830.65</v>
      </c>
    </row>
    <row r="149" spans="1:20">
      <c r="A149" s="1" t="s">
        <v>30</v>
      </c>
      <c r="B149">
        <v>2017</v>
      </c>
      <c r="C149">
        <v>784.59500000000003</v>
      </c>
      <c r="D149">
        <v>9.4410000000000007</v>
      </c>
      <c r="E149">
        <v>312.69200000000001</v>
      </c>
      <c r="F149">
        <v>172.04499999999999</v>
      </c>
      <c r="G149">
        <v>275.50599999999997</v>
      </c>
      <c r="H149" s="3">
        <v>3808389445530</v>
      </c>
      <c r="I149">
        <v>52935</v>
      </c>
      <c r="J149">
        <v>0.30480000000000002</v>
      </c>
      <c r="K149">
        <v>292</v>
      </c>
      <c r="L149">
        <v>352.46</v>
      </c>
      <c r="M149">
        <v>20.149999999999999</v>
      </c>
      <c r="N149">
        <v>76.319999999999993</v>
      </c>
      <c r="O149">
        <v>215.68</v>
      </c>
      <c r="P149">
        <v>38.76</v>
      </c>
      <c r="Q149">
        <v>105.69</v>
      </c>
      <c r="R149">
        <v>5.83</v>
      </c>
      <c r="S149" s="1">
        <v>98483.801600000006</v>
      </c>
      <c r="T149" s="1">
        <v>860.1400000000001</v>
      </c>
    </row>
    <row r="150" spans="1:20">
      <c r="A150" s="1" t="s">
        <v>30</v>
      </c>
      <c r="B150">
        <v>2018</v>
      </c>
      <c r="C150">
        <v>758.77099999999996</v>
      </c>
      <c r="D150">
        <v>9.1010000000000009</v>
      </c>
      <c r="E150">
        <v>296.87099999999998</v>
      </c>
      <c r="F150">
        <v>169.76</v>
      </c>
      <c r="G150">
        <v>268.09399999999999</v>
      </c>
      <c r="H150" s="3">
        <v>3845758522294</v>
      </c>
      <c r="I150">
        <v>47259.771999999997</v>
      </c>
      <c r="J150">
        <v>0.29935</v>
      </c>
      <c r="K150">
        <v>298.93</v>
      </c>
      <c r="L150">
        <v>333.35</v>
      </c>
      <c r="M150">
        <v>17.690000000000001</v>
      </c>
      <c r="N150">
        <v>76</v>
      </c>
      <c r="O150">
        <v>222.93</v>
      </c>
      <c r="P150">
        <v>44.32</v>
      </c>
      <c r="Q150">
        <v>109.95</v>
      </c>
      <c r="R150">
        <v>15.88</v>
      </c>
      <c r="S150" s="1">
        <v>101794.2966</v>
      </c>
      <c r="T150" s="1">
        <v>855.21</v>
      </c>
    </row>
    <row r="151" spans="1:20">
      <c r="A151" s="1" t="s">
        <v>30</v>
      </c>
      <c r="B151">
        <v>2019</v>
      </c>
      <c r="C151">
        <v>708.649</v>
      </c>
      <c r="D151">
        <v>8.4809999999999999</v>
      </c>
      <c r="E151">
        <v>240.114</v>
      </c>
      <c r="F151">
        <v>172.762</v>
      </c>
      <c r="G151">
        <v>271.93299999999999</v>
      </c>
      <c r="H151" s="3">
        <v>3886392581475</v>
      </c>
      <c r="I151">
        <v>43007.711000000003</v>
      </c>
      <c r="J151">
        <v>0.29830000000000001</v>
      </c>
      <c r="K151">
        <v>316.24</v>
      </c>
      <c r="L151">
        <v>283.85000000000002</v>
      </c>
      <c r="M151">
        <v>19.73</v>
      </c>
      <c r="N151">
        <v>75.069999999999993</v>
      </c>
      <c r="O151">
        <v>241.17</v>
      </c>
      <c r="P151">
        <v>45.22</v>
      </c>
      <c r="Q151">
        <v>125.89</v>
      </c>
      <c r="R151">
        <v>24.84</v>
      </c>
      <c r="S151" s="1">
        <v>110123.04539999999</v>
      </c>
      <c r="T151" s="1">
        <v>841.26</v>
      </c>
    </row>
    <row r="152" spans="1:20">
      <c r="A152" s="1" t="s">
        <v>30</v>
      </c>
      <c r="B152">
        <v>2020</v>
      </c>
      <c r="C152">
        <v>647.17700000000002</v>
      </c>
      <c r="D152">
        <v>7.7389999999999999</v>
      </c>
      <c r="E152">
        <v>198.53</v>
      </c>
      <c r="F152">
        <v>170.96299999999999</v>
      </c>
      <c r="G152">
        <v>254.465</v>
      </c>
      <c r="H152" s="3">
        <v>3742721113842</v>
      </c>
      <c r="I152">
        <v>31281.095000000001</v>
      </c>
      <c r="J152">
        <v>0.30245</v>
      </c>
      <c r="K152">
        <v>315.87</v>
      </c>
      <c r="L152">
        <v>250.88</v>
      </c>
      <c r="M152">
        <v>18.72</v>
      </c>
      <c r="N152">
        <v>64.38</v>
      </c>
      <c r="O152">
        <v>251.49</v>
      </c>
      <c r="P152">
        <v>49.5</v>
      </c>
      <c r="Q152">
        <v>132.11000000000001</v>
      </c>
      <c r="R152">
        <v>24.75</v>
      </c>
      <c r="S152" s="1">
        <v>114835.36380000001</v>
      </c>
      <c r="T152" s="1">
        <v>818.24</v>
      </c>
    </row>
    <row r="153" spans="1:20">
      <c r="A153" s="1" t="s">
        <v>30</v>
      </c>
      <c r="B153">
        <v>2021</v>
      </c>
      <c r="C153">
        <v>677.99800000000005</v>
      </c>
      <c r="D153">
        <v>8.1010000000000009</v>
      </c>
      <c r="E153">
        <v>232.13900000000001</v>
      </c>
      <c r="F153">
        <v>181.31</v>
      </c>
      <c r="G153">
        <v>240.52500000000001</v>
      </c>
      <c r="H153" s="3">
        <v>3841041747482</v>
      </c>
      <c r="I153">
        <v>40851.877999999997</v>
      </c>
      <c r="J153">
        <v>0.32135000000000002</v>
      </c>
      <c r="K153">
        <v>301.63</v>
      </c>
      <c r="L153">
        <v>277.2</v>
      </c>
      <c r="M153">
        <v>19.66</v>
      </c>
      <c r="N153">
        <v>69.13</v>
      </c>
      <c r="O153">
        <v>232.5</v>
      </c>
      <c r="P153">
        <v>49.34</v>
      </c>
      <c r="Q153">
        <v>114.16</v>
      </c>
      <c r="R153">
        <v>53.55</v>
      </c>
      <c r="S153" s="1">
        <v>106164.15</v>
      </c>
      <c r="T153" s="1">
        <v>811.32999999999993</v>
      </c>
    </row>
    <row r="154" spans="1:20">
      <c r="A154" s="1" t="s">
        <v>30</v>
      </c>
      <c r="B154">
        <v>2022</v>
      </c>
      <c r="C154">
        <v>667.84299999999996</v>
      </c>
      <c r="D154">
        <v>7.9420000000000002</v>
      </c>
      <c r="E154">
        <v>239.428</v>
      </c>
      <c r="F154">
        <v>158.685</v>
      </c>
      <c r="G154">
        <v>247.017</v>
      </c>
      <c r="H154" s="3">
        <v>3909612753939</v>
      </c>
      <c r="I154">
        <v>44791.061000000002</v>
      </c>
      <c r="J154">
        <v>0.33179999999999998</v>
      </c>
      <c r="K154">
        <v>286.25</v>
      </c>
      <c r="L154">
        <v>280.63</v>
      </c>
      <c r="M154">
        <v>17.62</v>
      </c>
      <c r="N154">
        <v>34.71</v>
      </c>
      <c r="O154">
        <v>251.54</v>
      </c>
      <c r="P154">
        <v>60.3</v>
      </c>
      <c r="Q154">
        <v>124.81</v>
      </c>
      <c r="R154">
        <v>80.87</v>
      </c>
      <c r="S154" s="1">
        <v>114858.1948</v>
      </c>
      <c r="T154" s="1">
        <v>818.42</v>
      </c>
    </row>
    <row r="155" spans="1:20">
      <c r="A155" s="1" t="s">
        <v>30</v>
      </c>
      <c r="B155">
        <v>2023</v>
      </c>
      <c r="C155">
        <v>593.76599999999996</v>
      </c>
      <c r="D155">
        <v>7.0229999999999997</v>
      </c>
      <c r="E155">
        <v>186.15700000000001</v>
      </c>
      <c r="F155">
        <v>150.34200000000001</v>
      </c>
      <c r="G155">
        <v>237.48699999999999</v>
      </c>
      <c r="H155" s="3">
        <v>3909612753939</v>
      </c>
      <c r="I155">
        <v>33025.415000000001</v>
      </c>
      <c r="J155">
        <v>0.40725</v>
      </c>
      <c r="K155">
        <v>284.32</v>
      </c>
      <c r="L155">
        <v>222.4</v>
      </c>
      <c r="M155">
        <v>21.24</v>
      </c>
      <c r="N155">
        <v>7.22</v>
      </c>
      <c r="O155">
        <v>277.10000000000002</v>
      </c>
      <c r="P155">
        <v>63.87</v>
      </c>
      <c r="Q155">
        <v>140.54</v>
      </c>
      <c r="R155">
        <v>85.3</v>
      </c>
      <c r="S155" s="1">
        <v>126529.40200000002</v>
      </c>
      <c r="T155" s="1">
        <v>783.82</v>
      </c>
    </row>
    <row r="156" spans="1:20">
      <c r="A156" s="1" t="s">
        <v>31</v>
      </c>
      <c r="B156">
        <v>2010</v>
      </c>
      <c r="C156">
        <v>97.353999999999999</v>
      </c>
      <c r="D156">
        <v>8.7509999999999994</v>
      </c>
      <c r="E156">
        <v>41.26</v>
      </c>
      <c r="F156">
        <v>7.1660000000000004</v>
      </c>
      <c r="G156">
        <v>43.994999999999997</v>
      </c>
      <c r="H156" s="3">
        <v>290984350750</v>
      </c>
      <c r="I156">
        <v>652</v>
      </c>
      <c r="J156">
        <v>0.1196</v>
      </c>
      <c r="K156">
        <v>10.53</v>
      </c>
      <c r="L156">
        <v>46.08</v>
      </c>
      <c r="M156">
        <v>7.47</v>
      </c>
      <c r="N156">
        <v>0</v>
      </c>
      <c r="O156">
        <v>10.53</v>
      </c>
      <c r="P156">
        <v>0.16</v>
      </c>
      <c r="Q156">
        <v>2.71</v>
      </c>
      <c r="R156">
        <v>14.38</v>
      </c>
      <c r="S156" s="1">
        <v>4808.2085999999999</v>
      </c>
      <c r="T156" s="1">
        <v>67.14</v>
      </c>
    </row>
    <row r="157" spans="1:20">
      <c r="A157" s="1" t="s">
        <v>31</v>
      </c>
      <c r="B157">
        <v>2011</v>
      </c>
      <c r="C157">
        <v>94.504999999999995</v>
      </c>
      <c r="D157">
        <v>8.5069999999999997</v>
      </c>
      <c r="E157">
        <v>42.08</v>
      </c>
      <c r="F157">
        <v>8.8109999999999999</v>
      </c>
      <c r="G157">
        <v>40.494999999999997</v>
      </c>
      <c r="H157" s="3">
        <v>266793942822</v>
      </c>
      <c r="I157">
        <v>506</v>
      </c>
      <c r="J157">
        <v>0.1244</v>
      </c>
      <c r="K157">
        <v>8.15</v>
      </c>
      <c r="L157">
        <v>50.3</v>
      </c>
      <c r="M157">
        <v>4.01</v>
      </c>
      <c r="N157">
        <v>0</v>
      </c>
      <c r="O157">
        <v>8.15</v>
      </c>
      <c r="P157">
        <v>0.61</v>
      </c>
      <c r="Q157">
        <v>3.32</v>
      </c>
      <c r="R157">
        <v>13.07</v>
      </c>
      <c r="S157" s="1">
        <v>3721.453</v>
      </c>
      <c r="T157" s="1">
        <v>66.599999999999994</v>
      </c>
    </row>
    <row r="158" spans="1:20">
      <c r="A158" s="1" t="s">
        <v>31</v>
      </c>
      <c r="B158">
        <v>2012</v>
      </c>
      <c r="C158">
        <v>91.393000000000001</v>
      </c>
      <c r="D158">
        <v>8.2720000000000002</v>
      </c>
      <c r="E158">
        <v>43.256999999999998</v>
      </c>
      <c r="F158">
        <v>8.0939999999999994</v>
      </c>
      <c r="G158">
        <v>36.295000000000002</v>
      </c>
      <c r="H158" s="3">
        <v>247887031358</v>
      </c>
      <c r="I158">
        <v>413</v>
      </c>
      <c r="J158">
        <v>0.14045000000000002</v>
      </c>
      <c r="K158">
        <v>10.130000000000001</v>
      </c>
      <c r="L158">
        <v>49.78</v>
      </c>
      <c r="M158">
        <v>4.3899999999999997</v>
      </c>
      <c r="N158">
        <v>0</v>
      </c>
      <c r="O158">
        <v>10.130000000000001</v>
      </c>
      <c r="P158">
        <v>1.69</v>
      </c>
      <c r="Q158">
        <v>3.85</v>
      </c>
      <c r="R158">
        <v>7.33</v>
      </c>
      <c r="S158" s="1">
        <v>4625.5606000000007</v>
      </c>
      <c r="T158" s="1">
        <v>70.040000000000006</v>
      </c>
    </row>
    <row r="159" spans="1:20">
      <c r="A159" s="1" t="s">
        <v>31</v>
      </c>
      <c r="B159">
        <v>2013</v>
      </c>
      <c r="C159">
        <v>81.712999999999994</v>
      </c>
      <c r="D159">
        <v>7.45</v>
      </c>
      <c r="E159">
        <v>37.290999999999997</v>
      </c>
      <c r="F159">
        <v>7.3360000000000003</v>
      </c>
      <c r="G159">
        <v>32.908999999999999</v>
      </c>
      <c r="H159" s="3">
        <v>241650188710</v>
      </c>
      <c r="I159">
        <v>441</v>
      </c>
      <c r="J159">
        <v>0.16299999999999998</v>
      </c>
      <c r="K159">
        <v>14.36</v>
      </c>
      <c r="L159">
        <v>42.01</v>
      </c>
      <c r="M159">
        <v>6.35</v>
      </c>
      <c r="N159">
        <v>0</v>
      </c>
      <c r="O159">
        <v>14.36</v>
      </c>
      <c r="P159">
        <v>3.65</v>
      </c>
      <c r="Q159">
        <v>4.1399999999999997</v>
      </c>
      <c r="R159">
        <v>4.45</v>
      </c>
      <c r="S159" s="1">
        <v>6557.0631999999996</v>
      </c>
      <c r="T159" s="1">
        <v>70.72999999999999</v>
      </c>
    </row>
    <row r="160" spans="1:20">
      <c r="A160" s="1" t="s">
        <v>31</v>
      </c>
      <c r="B160">
        <v>2014</v>
      </c>
      <c r="C160">
        <v>78.635999999999996</v>
      </c>
      <c r="D160">
        <v>7.2190000000000003</v>
      </c>
      <c r="E160">
        <v>35.226999999999997</v>
      </c>
      <c r="F160">
        <v>5.5590000000000002</v>
      </c>
      <c r="G160">
        <v>33.481999999999999</v>
      </c>
      <c r="H160" s="3">
        <v>242799798246</v>
      </c>
      <c r="I160">
        <v>336</v>
      </c>
      <c r="J160">
        <v>0.17759999999999998</v>
      </c>
      <c r="K160">
        <v>12.18</v>
      </c>
      <c r="L160">
        <v>37.44</v>
      </c>
      <c r="M160">
        <v>4.4800000000000004</v>
      </c>
      <c r="N160">
        <v>0</v>
      </c>
      <c r="O160">
        <v>12.18</v>
      </c>
      <c r="P160">
        <v>3.79</v>
      </c>
      <c r="Q160">
        <v>3.69</v>
      </c>
      <c r="R160">
        <v>5.96</v>
      </c>
      <c r="S160" s="1">
        <v>5561.6315999999997</v>
      </c>
      <c r="T160" s="1">
        <v>61.8</v>
      </c>
    </row>
    <row r="161" spans="1:20">
      <c r="A161" s="1" t="s">
        <v>31</v>
      </c>
      <c r="B161">
        <v>2015</v>
      </c>
      <c r="C161">
        <v>74.927000000000007</v>
      </c>
      <c r="D161">
        <v>6.9240000000000004</v>
      </c>
      <c r="E161">
        <v>29.949000000000002</v>
      </c>
      <c r="F161">
        <v>6.0350000000000001</v>
      </c>
      <c r="G161">
        <v>34.976999999999997</v>
      </c>
      <c r="H161" s="3">
        <v>242323725826</v>
      </c>
      <c r="I161">
        <v>257</v>
      </c>
      <c r="J161">
        <v>0.1769</v>
      </c>
      <c r="K161">
        <v>14.85</v>
      </c>
      <c r="L161">
        <v>36.200000000000003</v>
      </c>
      <c r="M161">
        <v>6.1</v>
      </c>
      <c r="N161">
        <v>0</v>
      </c>
      <c r="O161">
        <v>14.85</v>
      </c>
      <c r="P161">
        <v>3.9</v>
      </c>
      <c r="Q161">
        <v>4.62</v>
      </c>
      <c r="R161">
        <v>7.68</v>
      </c>
      <c r="S161" s="1">
        <v>6780.8069999999998</v>
      </c>
      <c r="T161" s="1">
        <v>65.900000000000006</v>
      </c>
    </row>
    <row r="162" spans="1:20">
      <c r="A162" s="1" t="s">
        <v>31</v>
      </c>
      <c r="B162">
        <v>2016</v>
      </c>
      <c r="C162">
        <v>71.36</v>
      </c>
      <c r="D162">
        <v>6.6219999999999999</v>
      </c>
      <c r="E162">
        <v>23.594000000000001</v>
      </c>
      <c r="F162">
        <v>7.9119999999999999</v>
      </c>
      <c r="G162">
        <v>35.567999999999998</v>
      </c>
      <c r="H162" s="3">
        <v>241143085639</v>
      </c>
      <c r="I162">
        <v>312</v>
      </c>
      <c r="J162">
        <v>0.17194999999999999</v>
      </c>
      <c r="K162">
        <v>14.89</v>
      </c>
      <c r="L162">
        <v>38.950000000000003</v>
      </c>
      <c r="M162">
        <v>5.54</v>
      </c>
      <c r="N162">
        <v>0</v>
      </c>
      <c r="O162">
        <v>14.89</v>
      </c>
      <c r="P162">
        <v>3.93</v>
      </c>
      <c r="Q162">
        <v>5.15</v>
      </c>
      <c r="R162">
        <v>5.35</v>
      </c>
      <c r="S162" s="1">
        <v>6799.0718000000006</v>
      </c>
      <c r="T162" s="1">
        <v>68.73</v>
      </c>
    </row>
    <row r="163" spans="1:20">
      <c r="A163" s="1" t="s">
        <v>31</v>
      </c>
      <c r="B163">
        <v>2017</v>
      </c>
      <c r="C163">
        <v>74.841999999999999</v>
      </c>
      <c r="D163">
        <v>6.96</v>
      </c>
      <c r="E163">
        <v>26.018999999999998</v>
      </c>
      <c r="F163">
        <v>9.5359999999999996</v>
      </c>
      <c r="G163">
        <v>35.027999999999999</v>
      </c>
      <c r="H163" s="3">
        <v>243776808141</v>
      </c>
      <c r="I163">
        <v>411.30500000000001</v>
      </c>
      <c r="J163">
        <v>0.16655</v>
      </c>
      <c r="K163">
        <v>13.8</v>
      </c>
      <c r="L163">
        <v>41</v>
      </c>
      <c r="M163">
        <v>3.96</v>
      </c>
      <c r="N163">
        <v>0</v>
      </c>
      <c r="O163">
        <v>13.8</v>
      </c>
      <c r="P163">
        <v>3.99</v>
      </c>
      <c r="Q163">
        <v>5.54</v>
      </c>
      <c r="R163">
        <v>5.83</v>
      </c>
      <c r="S163" s="1">
        <v>6301.3560000000007</v>
      </c>
      <c r="T163" s="1">
        <v>68.599999999999994</v>
      </c>
    </row>
    <row r="164" spans="1:20">
      <c r="A164" s="1" t="s">
        <v>31</v>
      </c>
      <c r="B164">
        <v>2018</v>
      </c>
      <c r="C164">
        <v>71.778000000000006</v>
      </c>
      <c r="D164">
        <v>6.6890000000000001</v>
      </c>
      <c r="E164">
        <v>24.850999999999999</v>
      </c>
      <c r="F164">
        <v>9.0719999999999992</v>
      </c>
      <c r="G164">
        <v>33.832999999999998</v>
      </c>
      <c r="H164" s="3">
        <v>247844015413</v>
      </c>
      <c r="I164">
        <v>379.26499999999999</v>
      </c>
      <c r="J164">
        <v>0.16589999999999999</v>
      </c>
      <c r="K164">
        <v>16.14</v>
      </c>
      <c r="L164">
        <v>36.47</v>
      </c>
      <c r="M164">
        <v>5.74</v>
      </c>
      <c r="N164">
        <v>0</v>
      </c>
      <c r="O164">
        <v>16.14</v>
      </c>
      <c r="P164">
        <v>3.79</v>
      </c>
      <c r="Q164">
        <v>6.3</v>
      </c>
      <c r="R164">
        <v>15.88</v>
      </c>
      <c r="S164" s="1">
        <v>7369.8468000000003</v>
      </c>
      <c r="T164" s="1">
        <v>68.75</v>
      </c>
    </row>
    <row r="165" spans="1:20">
      <c r="A165" s="1" t="s">
        <v>31</v>
      </c>
      <c r="B165">
        <v>2019</v>
      </c>
      <c r="C165">
        <v>65.736000000000004</v>
      </c>
      <c r="D165">
        <v>6.133</v>
      </c>
      <c r="E165">
        <v>17.879000000000001</v>
      </c>
      <c r="F165">
        <v>9.9979999999999993</v>
      </c>
      <c r="G165">
        <v>33.914999999999999</v>
      </c>
      <c r="H165" s="3">
        <v>252514250712</v>
      </c>
      <c r="I165">
        <v>326.51</v>
      </c>
      <c r="J165">
        <v>0.1573</v>
      </c>
      <c r="K165">
        <v>16.100000000000001</v>
      </c>
      <c r="L165">
        <v>31.85</v>
      </c>
      <c r="M165">
        <v>4</v>
      </c>
      <c r="N165">
        <v>0</v>
      </c>
      <c r="O165">
        <v>16.100000000000001</v>
      </c>
      <c r="P165">
        <v>4.43</v>
      </c>
      <c r="Q165">
        <v>7.27</v>
      </c>
      <c r="R165">
        <v>24.84</v>
      </c>
      <c r="S165" s="1">
        <v>7351.5820000000003</v>
      </c>
      <c r="T165" s="1">
        <v>64.050000000000011</v>
      </c>
    </row>
    <row r="166" spans="1:20">
      <c r="A166" s="1" t="s">
        <v>31</v>
      </c>
      <c r="B166">
        <v>2020</v>
      </c>
      <c r="C166">
        <v>55.576999999999998</v>
      </c>
      <c r="D166">
        <v>5.194</v>
      </c>
      <c r="E166">
        <v>10.147</v>
      </c>
      <c r="F166">
        <v>11.042999999999999</v>
      </c>
      <c r="G166">
        <v>31.009</v>
      </c>
      <c r="H166" s="3">
        <v>229777821500</v>
      </c>
      <c r="I166">
        <v>304.35199999999998</v>
      </c>
      <c r="J166">
        <v>0.16575000000000001</v>
      </c>
      <c r="K166">
        <v>17.55</v>
      </c>
      <c r="L166">
        <v>29.96</v>
      </c>
      <c r="M166">
        <v>3.34</v>
      </c>
      <c r="N166">
        <v>0</v>
      </c>
      <c r="O166">
        <v>17.55</v>
      </c>
      <c r="P166">
        <v>4.45</v>
      </c>
      <c r="Q166">
        <v>9.31</v>
      </c>
      <c r="R166">
        <v>24.75</v>
      </c>
      <c r="S166" s="1">
        <v>8013.6810000000005</v>
      </c>
      <c r="T166" s="1">
        <v>65.06</v>
      </c>
    </row>
    <row r="167" spans="1:20">
      <c r="A167" s="1" t="s">
        <v>31</v>
      </c>
      <c r="B167">
        <v>2021</v>
      </c>
      <c r="C167">
        <v>57.527999999999999</v>
      </c>
      <c r="D167">
        <v>5.4379999999999997</v>
      </c>
      <c r="E167">
        <v>9.2590000000000003</v>
      </c>
      <c r="F167">
        <v>12.363</v>
      </c>
      <c r="G167">
        <v>32.277000000000001</v>
      </c>
      <c r="H167" s="3">
        <v>249158215293</v>
      </c>
      <c r="I167">
        <v>266.39100000000002</v>
      </c>
      <c r="J167">
        <v>0.1827</v>
      </c>
      <c r="K167">
        <v>22.13</v>
      </c>
      <c r="L167">
        <v>32.11</v>
      </c>
      <c r="M167">
        <v>5.9</v>
      </c>
      <c r="N167">
        <v>0</v>
      </c>
      <c r="O167">
        <v>22.13</v>
      </c>
      <c r="P167">
        <v>5.25</v>
      </c>
      <c r="Q167">
        <v>10.48</v>
      </c>
      <c r="R167">
        <v>53.55</v>
      </c>
      <c r="S167" s="1">
        <v>10105.000599999999</v>
      </c>
      <c r="T167" s="1">
        <v>76.36999999999999</v>
      </c>
    </row>
    <row r="168" spans="1:20">
      <c r="A168" s="1" t="s">
        <v>31</v>
      </c>
      <c r="B168">
        <v>2022</v>
      </c>
      <c r="C168">
        <v>57.609000000000002</v>
      </c>
      <c r="D168">
        <v>5.5330000000000004</v>
      </c>
      <c r="E168">
        <v>8.7669999999999995</v>
      </c>
      <c r="F168">
        <v>10.218999999999999</v>
      </c>
      <c r="G168">
        <v>35.274000000000001</v>
      </c>
      <c r="H168" s="3">
        <v>263892672733</v>
      </c>
      <c r="I168">
        <v>85.710999999999999</v>
      </c>
      <c r="J168">
        <v>0.22694999999999999</v>
      </c>
      <c r="K168">
        <v>22.45</v>
      </c>
      <c r="L168">
        <v>29.22</v>
      </c>
      <c r="M168">
        <v>3.86</v>
      </c>
      <c r="N168">
        <v>0</v>
      </c>
      <c r="O168">
        <v>22.45</v>
      </c>
      <c r="P168">
        <v>7.14</v>
      </c>
      <c r="Q168">
        <v>10.88</v>
      </c>
      <c r="R168">
        <v>80.87</v>
      </c>
      <c r="S168" s="1">
        <v>10251.119000000001</v>
      </c>
      <c r="T168" s="1">
        <v>74.12</v>
      </c>
    </row>
    <row r="169" spans="1:20">
      <c r="A169" s="1" t="s">
        <v>31</v>
      </c>
      <c r="B169">
        <v>2023</v>
      </c>
      <c r="C169">
        <v>51.988</v>
      </c>
      <c r="D169">
        <v>5.0759999999999996</v>
      </c>
      <c r="E169">
        <v>6.5309999999999997</v>
      </c>
      <c r="F169">
        <v>9.0779999999999994</v>
      </c>
      <c r="G169">
        <v>32.991</v>
      </c>
      <c r="H169" s="3">
        <v>263892672733</v>
      </c>
      <c r="I169">
        <v>49.405999999999999</v>
      </c>
      <c r="J169">
        <v>0.23180000000000001</v>
      </c>
      <c r="K169">
        <v>24.38</v>
      </c>
      <c r="L169">
        <v>24.55</v>
      </c>
      <c r="M169">
        <v>3.82</v>
      </c>
      <c r="N169">
        <v>0</v>
      </c>
      <c r="O169">
        <v>24.38</v>
      </c>
      <c r="P169">
        <v>8.89</v>
      </c>
      <c r="Q169">
        <v>11.02</v>
      </c>
      <c r="R169">
        <v>85.3</v>
      </c>
      <c r="S169" s="1">
        <v>11132.3956</v>
      </c>
      <c r="T169" s="1">
        <v>73.31</v>
      </c>
    </row>
    <row r="170" spans="1:20">
      <c r="A170" s="1" t="s">
        <v>32</v>
      </c>
      <c r="B170">
        <v>2010</v>
      </c>
      <c r="C170">
        <v>51.993000000000002</v>
      </c>
      <c r="D170">
        <v>5.21</v>
      </c>
      <c r="E170">
        <v>11.721</v>
      </c>
      <c r="F170">
        <v>22.696999999999999</v>
      </c>
      <c r="G170">
        <v>16.067</v>
      </c>
      <c r="H170" s="3">
        <v>200496589291</v>
      </c>
      <c r="I170">
        <v>2083</v>
      </c>
      <c r="J170">
        <v>0.16375000000000001</v>
      </c>
      <c r="K170">
        <v>18.78</v>
      </c>
      <c r="L170">
        <v>18.579999999999998</v>
      </c>
      <c r="M170">
        <v>0.19</v>
      </c>
      <c r="N170">
        <v>15.76</v>
      </c>
      <c r="O170">
        <v>3.02</v>
      </c>
      <c r="P170">
        <v>0</v>
      </c>
      <c r="Q170">
        <v>0.53</v>
      </c>
      <c r="R170">
        <v>14.38</v>
      </c>
      <c r="S170" s="1">
        <v>1378.9924000000001</v>
      </c>
      <c r="T170" s="1">
        <v>40.380000000000003</v>
      </c>
    </row>
    <row r="171" spans="1:20">
      <c r="A171" s="1" t="s">
        <v>32</v>
      </c>
      <c r="B171">
        <v>2011</v>
      </c>
      <c r="C171">
        <v>50.155999999999999</v>
      </c>
      <c r="D171">
        <v>5.0419999999999998</v>
      </c>
      <c r="E171">
        <v>12.022</v>
      </c>
      <c r="F171">
        <v>21.661000000000001</v>
      </c>
      <c r="G171">
        <v>15.14</v>
      </c>
      <c r="H171" s="3">
        <v>208407605976</v>
      </c>
      <c r="I171">
        <v>1891</v>
      </c>
      <c r="J171">
        <v>0.16175</v>
      </c>
      <c r="K171">
        <v>18.399999999999999</v>
      </c>
      <c r="L171">
        <v>17.62</v>
      </c>
      <c r="M171">
        <v>0.22</v>
      </c>
      <c r="N171">
        <v>15.69</v>
      </c>
      <c r="O171">
        <v>2.71</v>
      </c>
      <c r="P171">
        <v>0</v>
      </c>
      <c r="Q171">
        <v>0.63</v>
      </c>
      <c r="R171">
        <v>13.07</v>
      </c>
      <c r="S171" s="1">
        <v>1237.4402</v>
      </c>
      <c r="T171" s="1">
        <v>38.729999999999997</v>
      </c>
    </row>
    <row r="172" spans="1:20">
      <c r="A172" s="1" t="s">
        <v>32</v>
      </c>
      <c r="B172">
        <v>2012</v>
      </c>
      <c r="C172">
        <v>46.72</v>
      </c>
      <c r="D172">
        <v>4.7110000000000003</v>
      </c>
      <c r="E172">
        <v>11.538</v>
      </c>
      <c r="F172">
        <v>19.326000000000001</v>
      </c>
      <c r="G172">
        <v>14.471</v>
      </c>
      <c r="H172" s="3">
        <v>205802052322</v>
      </c>
      <c r="I172">
        <v>1796</v>
      </c>
      <c r="J172">
        <v>0.15834999999999999</v>
      </c>
      <c r="K172">
        <v>18.43</v>
      </c>
      <c r="L172">
        <v>16.190000000000001</v>
      </c>
      <c r="M172">
        <v>0.21</v>
      </c>
      <c r="N172">
        <v>15.79</v>
      </c>
      <c r="O172">
        <v>2.64</v>
      </c>
      <c r="P172">
        <v>0.01</v>
      </c>
      <c r="Q172">
        <v>0.77</v>
      </c>
      <c r="R172">
        <v>7.33</v>
      </c>
      <c r="S172" s="1">
        <v>1205.4768000000001</v>
      </c>
      <c r="T172" s="1">
        <v>37.260000000000005</v>
      </c>
    </row>
    <row r="173" spans="1:20">
      <c r="A173" s="1" t="s">
        <v>32</v>
      </c>
      <c r="B173">
        <v>2013</v>
      </c>
      <c r="C173">
        <v>43.487000000000002</v>
      </c>
      <c r="D173">
        <v>4.3970000000000002</v>
      </c>
      <c r="E173">
        <v>10.26</v>
      </c>
      <c r="F173">
        <v>18.030999999999999</v>
      </c>
      <c r="G173">
        <v>13.981999999999999</v>
      </c>
      <c r="H173" s="3">
        <v>209511661762</v>
      </c>
      <c r="I173">
        <v>1581</v>
      </c>
      <c r="J173">
        <v>0.13614999999999999</v>
      </c>
      <c r="K173">
        <v>18.149999999999999</v>
      </c>
      <c r="L173">
        <v>12.12</v>
      </c>
      <c r="M173">
        <v>0.21</v>
      </c>
      <c r="N173">
        <v>15.37</v>
      </c>
      <c r="O173">
        <v>2.78</v>
      </c>
      <c r="P173">
        <v>0.02</v>
      </c>
      <c r="Q173">
        <v>0.72</v>
      </c>
      <c r="R173">
        <v>4.45</v>
      </c>
      <c r="S173" s="1">
        <v>1269.4035999999999</v>
      </c>
      <c r="T173" s="1">
        <v>33.049999999999997</v>
      </c>
    </row>
    <row r="174" spans="1:20">
      <c r="A174" s="1" t="s">
        <v>32</v>
      </c>
      <c r="B174">
        <v>2014</v>
      </c>
      <c r="C174">
        <v>43.639000000000003</v>
      </c>
      <c r="D174">
        <v>4.4249999999999998</v>
      </c>
      <c r="E174">
        <v>10.289</v>
      </c>
      <c r="F174">
        <v>16.782</v>
      </c>
      <c r="G174">
        <v>15.335000000000001</v>
      </c>
      <c r="H174" s="3">
        <v>218378634753</v>
      </c>
      <c r="I174">
        <v>1596</v>
      </c>
      <c r="J174">
        <v>0.1174</v>
      </c>
      <c r="K174">
        <v>18.809999999999999</v>
      </c>
      <c r="L174">
        <v>10.58</v>
      </c>
      <c r="M174">
        <v>0.3</v>
      </c>
      <c r="N174">
        <v>15.65</v>
      </c>
      <c r="O174">
        <v>3.16</v>
      </c>
      <c r="P174">
        <v>7.0000000000000007E-2</v>
      </c>
      <c r="Q174">
        <v>0.66</v>
      </c>
      <c r="R174">
        <v>5.96</v>
      </c>
      <c r="S174" s="1">
        <v>1442.9192</v>
      </c>
      <c r="T174" s="1">
        <v>32.549999999999997</v>
      </c>
    </row>
    <row r="175" spans="1:20">
      <c r="A175" s="1" t="s">
        <v>32</v>
      </c>
      <c r="B175">
        <v>2015</v>
      </c>
      <c r="C175">
        <v>46.567</v>
      </c>
      <c r="D175">
        <v>4.7329999999999997</v>
      </c>
      <c r="E175">
        <v>10.624000000000001</v>
      </c>
      <c r="F175">
        <v>17.895</v>
      </c>
      <c r="G175">
        <v>16.672999999999998</v>
      </c>
      <c r="H175" s="3">
        <v>226474616785</v>
      </c>
      <c r="I175">
        <v>1649</v>
      </c>
      <c r="J175">
        <v>0.11360000000000001</v>
      </c>
      <c r="K175">
        <v>19.05</v>
      </c>
      <c r="L175">
        <v>11.28</v>
      </c>
      <c r="M175">
        <v>0.23</v>
      </c>
      <c r="N175">
        <v>15.83</v>
      </c>
      <c r="O175">
        <v>3.22</v>
      </c>
      <c r="P175">
        <v>0.14000000000000001</v>
      </c>
      <c r="Q175">
        <v>0.69</v>
      </c>
      <c r="R175">
        <v>7.68</v>
      </c>
      <c r="S175" s="1">
        <v>1470.3164000000002</v>
      </c>
      <c r="T175" s="1">
        <v>33.549999999999997</v>
      </c>
    </row>
    <row r="176" spans="1:20">
      <c r="A176" s="1" t="s">
        <v>32</v>
      </c>
      <c r="B176">
        <v>2016</v>
      </c>
      <c r="C176">
        <v>47.039000000000001</v>
      </c>
      <c r="D176">
        <v>4.7949999999999999</v>
      </c>
      <c r="E176">
        <v>9.8789999999999996</v>
      </c>
      <c r="F176">
        <v>19.041</v>
      </c>
      <c r="G176">
        <v>16.713000000000001</v>
      </c>
      <c r="H176" s="3">
        <v>231459349147</v>
      </c>
      <c r="I176">
        <v>1608</v>
      </c>
      <c r="J176">
        <v>0.11194999999999999</v>
      </c>
      <c r="K176">
        <v>19.3</v>
      </c>
      <c r="L176">
        <v>12.58</v>
      </c>
      <c r="M176">
        <v>0.26</v>
      </c>
      <c r="N176">
        <v>16.05</v>
      </c>
      <c r="O176">
        <v>3.25</v>
      </c>
      <c r="P176">
        <v>0.24</v>
      </c>
      <c r="Q176">
        <v>0.68</v>
      </c>
      <c r="R176">
        <v>5.35</v>
      </c>
      <c r="S176" s="1">
        <v>1484.0150000000001</v>
      </c>
      <c r="T176" s="1">
        <v>35.130000000000003</v>
      </c>
    </row>
    <row r="177" spans="1:20">
      <c r="A177" s="1" t="s">
        <v>32</v>
      </c>
      <c r="B177">
        <v>2017</v>
      </c>
      <c r="C177">
        <v>49.423999999999999</v>
      </c>
      <c r="D177">
        <v>5.0510000000000002</v>
      </c>
      <c r="E177">
        <v>10.177</v>
      </c>
      <c r="F177">
        <v>20.106999999999999</v>
      </c>
      <c r="G177">
        <v>17.631</v>
      </c>
      <c r="H177" s="3">
        <v>241347220007</v>
      </c>
      <c r="I177">
        <v>1874</v>
      </c>
      <c r="J177">
        <v>0.11294999999999999</v>
      </c>
      <c r="K177">
        <v>19.579999999999998</v>
      </c>
      <c r="L177">
        <v>13.34</v>
      </c>
      <c r="M177">
        <v>0.22</v>
      </c>
      <c r="N177">
        <v>16.100000000000001</v>
      </c>
      <c r="O177">
        <v>3.48</v>
      </c>
      <c r="P177">
        <v>0.35</v>
      </c>
      <c r="Q177">
        <v>0.76</v>
      </c>
      <c r="R177">
        <v>5.83</v>
      </c>
      <c r="S177" s="1">
        <v>1589.0376000000001</v>
      </c>
      <c r="T177" s="1">
        <v>36.4</v>
      </c>
    </row>
    <row r="178" spans="1:20">
      <c r="A178" s="1" t="s">
        <v>32</v>
      </c>
      <c r="B178">
        <v>2018</v>
      </c>
      <c r="C178">
        <v>49.366</v>
      </c>
      <c r="D178">
        <v>5.0510000000000002</v>
      </c>
      <c r="E178">
        <v>9.577</v>
      </c>
      <c r="F178">
        <v>19.466999999999999</v>
      </c>
      <c r="G178">
        <v>18.712</v>
      </c>
      <c r="H178" s="3">
        <v>254289117363</v>
      </c>
      <c r="I178">
        <v>1838</v>
      </c>
      <c r="J178">
        <v>0.11205</v>
      </c>
      <c r="K178">
        <v>19.5</v>
      </c>
      <c r="L178">
        <v>12.55</v>
      </c>
      <c r="M178">
        <v>0.22</v>
      </c>
      <c r="N178">
        <v>15.73</v>
      </c>
      <c r="O178">
        <v>3.77</v>
      </c>
      <c r="P178">
        <v>0.63</v>
      </c>
      <c r="Q178">
        <v>0.61</v>
      </c>
      <c r="R178">
        <v>15.88</v>
      </c>
      <c r="S178" s="1">
        <v>1721.4574</v>
      </c>
      <c r="T178" s="1">
        <v>35.82</v>
      </c>
    </row>
    <row r="179" spans="1:20">
      <c r="A179" s="1" t="s">
        <v>32</v>
      </c>
      <c r="B179">
        <v>2019</v>
      </c>
      <c r="C179">
        <v>49.158999999999999</v>
      </c>
      <c r="D179">
        <v>5.0309999999999997</v>
      </c>
      <c r="E179">
        <v>8.3239999999999998</v>
      </c>
      <c r="F179">
        <v>19.597999999999999</v>
      </c>
      <c r="G179">
        <v>19.52</v>
      </c>
      <c r="H179" s="3">
        <v>266658311342</v>
      </c>
      <c r="I179">
        <v>1563</v>
      </c>
      <c r="J179">
        <v>0.11085</v>
      </c>
      <c r="K179">
        <v>20.99</v>
      </c>
      <c r="L179">
        <v>13.29</v>
      </c>
      <c r="M179">
        <v>0.22</v>
      </c>
      <c r="N179">
        <v>16.29</v>
      </c>
      <c r="O179">
        <v>4.7</v>
      </c>
      <c r="P179">
        <v>1.5</v>
      </c>
      <c r="Q179">
        <v>0.73</v>
      </c>
      <c r="R179">
        <v>24.84</v>
      </c>
      <c r="S179" s="1">
        <v>2146.114</v>
      </c>
      <c r="T179" s="1">
        <v>38.980000000000004</v>
      </c>
    </row>
    <row r="180" spans="1:20">
      <c r="A180" s="1" t="s">
        <v>32</v>
      </c>
      <c r="B180">
        <v>2020</v>
      </c>
      <c r="C180">
        <v>47.104999999999997</v>
      </c>
      <c r="D180">
        <v>4.8319999999999999</v>
      </c>
      <c r="E180">
        <v>7.5110000000000001</v>
      </c>
      <c r="F180">
        <v>20.553999999999998</v>
      </c>
      <c r="G180">
        <v>17.463000000000001</v>
      </c>
      <c r="H180" s="3">
        <v>254563881936</v>
      </c>
      <c r="I180">
        <v>1343</v>
      </c>
      <c r="J180">
        <v>0.10200000000000001</v>
      </c>
      <c r="K180">
        <v>21.58</v>
      </c>
      <c r="L180">
        <v>13.34</v>
      </c>
      <c r="M180">
        <v>0.24</v>
      </c>
      <c r="N180">
        <v>16.059999999999999</v>
      </c>
      <c r="O180">
        <v>5.52</v>
      </c>
      <c r="P180">
        <v>2.46</v>
      </c>
      <c r="Q180">
        <v>0.65</v>
      </c>
      <c r="R180">
        <v>24.75</v>
      </c>
      <c r="S180" s="1">
        <v>2520.5423999999998</v>
      </c>
      <c r="T180" s="1">
        <v>40.44</v>
      </c>
    </row>
    <row r="181" spans="1:20">
      <c r="A181" s="1" t="s">
        <v>32</v>
      </c>
      <c r="B181">
        <v>2021</v>
      </c>
      <c r="C181">
        <v>48.326000000000001</v>
      </c>
      <c r="D181">
        <v>4.9779999999999998</v>
      </c>
      <c r="E181">
        <v>6.06</v>
      </c>
      <c r="F181">
        <v>21.795999999999999</v>
      </c>
      <c r="G181">
        <v>18.887</v>
      </c>
      <c r="H181" s="3">
        <v>272892486007</v>
      </c>
      <c r="I181">
        <v>1255</v>
      </c>
      <c r="J181">
        <v>0.10065</v>
      </c>
      <c r="K181">
        <v>22.9</v>
      </c>
      <c r="L181">
        <v>13.2</v>
      </c>
      <c r="M181">
        <v>0.21</v>
      </c>
      <c r="N181">
        <v>15.99</v>
      </c>
      <c r="O181">
        <v>6.91</v>
      </c>
      <c r="P181">
        <v>3.8</v>
      </c>
      <c r="Q181">
        <v>0.66</v>
      </c>
      <c r="R181">
        <v>53.55</v>
      </c>
      <c r="S181" s="1">
        <v>3155.2442000000001</v>
      </c>
      <c r="T181" s="1">
        <v>43.009999999999991</v>
      </c>
    </row>
    <row r="182" spans="1:20">
      <c r="A182" s="1" t="s">
        <v>32</v>
      </c>
      <c r="B182">
        <v>2022</v>
      </c>
      <c r="C182">
        <v>45.267000000000003</v>
      </c>
      <c r="D182">
        <v>4.6740000000000004</v>
      </c>
      <c r="E182">
        <v>5.5590000000000002</v>
      </c>
      <c r="F182">
        <v>18.73</v>
      </c>
      <c r="G182">
        <v>19.646999999999998</v>
      </c>
      <c r="H182" s="3">
        <v>285385229433</v>
      </c>
      <c r="I182">
        <v>935</v>
      </c>
      <c r="J182">
        <v>0.1016</v>
      </c>
      <c r="K182">
        <v>23.47</v>
      </c>
      <c r="L182">
        <v>12.31</v>
      </c>
      <c r="M182">
        <v>0.18</v>
      </c>
      <c r="N182">
        <v>15.81</v>
      </c>
      <c r="O182">
        <v>7.66</v>
      </c>
      <c r="P182">
        <v>4.7300000000000004</v>
      </c>
      <c r="Q182">
        <v>0.61</v>
      </c>
      <c r="R182">
        <v>80.87</v>
      </c>
      <c r="S182" s="1">
        <v>3497.7092000000002</v>
      </c>
      <c r="T182" s="1">
        <v>43.44</v>
      </c>
    </row>
    <row r="183" spans="1:20">
      <c r="A183" s="1" t="s">
        <v>32</v>
      </c>
      <c r="B183">
        <v>2023</v>
      </c>
      <c r="C183">
        <v>40.344000000000001</v>
      </c>
      <c r="D183">
        <v>4.165</v>
      </c>
      <c r="E183">
        <v>4.3150000000000004</v>
      </c>
      <c r="F183">
        <v>16.689</v>
      </c>
      <c r="G183">
        <v>18.384</v>
      </c>
      <c r="H183" s="3">
        <v>285385229433</v>
      </c>
      <c r="I183">
        <v>455</v>
      </c>
      <c r="J183">
        <v>0.11445</v>
      </c>
      <c r="K183">
        <v>25.3</v>
      </c>
      <c r="L183">
        <v>10.24</v>
      </c>
      <c r="M183">
        <v>0.22</v>
      </c>
      <c r="N183">
        <v>15.92</v>
      </c>
      <c r="O183">
        <v>9.3800000000000008</v>
      </c>
      <c r="P183">
        <v>6.93</v>
      </c>
      <c r="Q183">
        <v>0.65</v>
      </c>
      <c r="R183">
        <v>85.3</v>
      </c>
      <c r="S183" s="1">
        <v>4283.0956000000006</v>
      </c>
      <c r="T183" s="1">
        <v>44.92</v>
      </c>
    </row>
    <row r="184" spans="1:20">
      <c r="A184" s="1" t="s">
        <v>33</v>
      </c>
      <c r="B184">
        <v>2010</v>
      </c>
      <c r="C184">
        <v>41.790999999999997</v>
      </c>
      <c r="D184">
        <v>9.1669999999999998</v>
      </c>
      <c r="E184">
        <v>8.4269999999999996</v>
      </c>
      <c r="F184">
        <v>11.365</v>
      </c>
      <c r="G184">
        <v>20.210999999999999</v>
      </c>
      <c r="H184" s="3">
        <v>221852442105</v>
      </c>
      <c r="I184">
        <v>1611.258</v>
      </c>
      <c r="J184">
        <v>0.18395</v>
      </c>
      <c r="K184">
        <v>3.77</v>
      </c>
      <c r="L184">
        <v>24.39</v>
      </c>
      <c r="M184">
        <v>0.6</v>
      </c>
      <c r="N184">
        <v>0</v>
      </c>
      <c r="O184">
        <v>3.77</v>
      </c>
      <c r="P184">
        <v>0</v>
      </c>
      <c r="Q184">
        <v>2.86</v>
      </c>
      <c r="R184">
        <v>14.38</v>
      </c>
      <c r="S184" s="1">
        <v>1721.4574</v>
      </c>
      <c r="T184" s="1">
        <v>31.93</v>
      </c>
    </row>
    <row r="185" spans="1:20">
      <c r="A185" s="1" t="s">
        <v>33</v>
      </c>
      <c r="B185">
        <v>2011</v>
      </c>
      <c r="C185">
        <v>38.054000000000002</v>
      </c>
      <c r="D185">
        <v>8.31</v>
      </c>
      <c r="E185">
        <v>8.3109999999999999</v>
      </c>
      <c r="F185">
        <v>9.85</v>
      </c>
      <c r="G185">
        <v>18.321999999999999</v>
      </c>
      <c r="H185" s="3">
        <v>224397469453</v>
      </c>
      <c r="I185">
        <v>2289.7979999999998</v>
      </c>
      <c r="J185">
        <v>0.19935</v>
      </c>
      <c r="K185">
        <v>5.5</v>
      </c>
      <c r="L185">
        <v>21.7</v>
      </c>
      <c r="M185">
        <v>0.71</v>
      </c>
      <c r="N185">
        <v>0</v>
      </c>
      <c r="O185">
        <v>5.5</v>
      </c>
      <c r="P185">
        <v>0</v>
      </c>
      <c r="Q185">
        <v>4.45</v>
      </c>
      <c r="R185">
        <v>13.07</v>
      </c>
      <c r="S185" s="1">
        <v>2511.41</v>
      </c>
      <c r="T185" s="1">
        <v>32.700000000000003</v>
      </c>
    </row>
    <row r="186" spans="1:20">
      <c r="A186" s="1" t="s">
        <v>33</v>
      </c>
      <c r="B186">
        <v>2012</v>
      </c>
      <c r="C186">
        <v>38.223999999999997</v>
      </c>
      <c r="D186">
        <v>8.3089999999999993</v>
      </c>
      <c r="E186">
        <v>9.6219999999999999</v>
      </c>
      <c r="F186">
        <v>9.5229999999999997</v>
      </c>
      <c r="G186">
        <v>17.41</v>
      </c>
      <c r="H186" s="3">
        <v>217871560184</v>
      </c>
      <c r="I186">
        <v>2230.4299999999998</v>
      </c>
      <c r="J186">
        <v>0.22220000000000001</v>
      </c>
      <c r="K186">
        <v>5.32</v>
      </c>
      <c r="L186">
        <v>21.84</v>
      </c>
      <c r="M186">
        <v>0.8</v>
      </c>
      <c r="N186">
        <v>0</v>
      </c>
      <c r="O186">
        <v>5.32</v>
      </c>
      <c r="P186">
        <v>0</v>
      </c>
      <c r="Q186">
        <v>4.08</v>
      </c>
      <c r="R186">
        <v>7.33</v>
      </c>
      <c r="S186" s="1">
        <v>2429.2184000000002</v>
      </c>
      <c r="T186" s="1">
        <v>32.480000000000004</v>
      </c>
    </row>
    <row r="187" spans="1:20">
      <c r="A187" s="1" t="s">
        <v>33</v>
      </c>
      <c r="B187">
        <v>2013</v>
      </c>
      <c r="C187">
        <v>37.279000000000003</v>
      </c>
      <c r="D187">
        <v>8.0609999999999999</v>
      </c>
      <c r="E187">
        <v>8.7390000000000008</v>
      </c>
      <c r="F187">
        <v>9.0670000000000002</v>
      </c>
      <c r="G187">
        <v>17.611000000000001</v>
      </c>
      <c r="H187" s="3">
        <v>222738952818</v>
      </c>
      <c r="I187">
        <v>2407.011</v>
      </c>
      <c r="J187">
        <v>0.23499999999999999</v>
      </c>
      <c r="K187">
        <v>5.71</v>
      </c>
      <c r="L187">
        <v>19.91</v>
      </c>
      <c r="M187">
        <v>0.6</v>
      </c>
      <c r="N187">
        <v>0</v>
      </c>
      <c r="O187">
        <v>5.71</v>
      </c>
      <c r="P187">
        <v>0</v>
      </c>
      <c r="Q187">
        <v>4.62</v>
      </c>
      <c r="R187">
        <v>4.45</v>
      </c>
      <c r="S187" s="1">
        <v>2607.3002000000001</v>
      </c>
      <c r="T187" s="1">
        <v>31.330000000000002</v>
      </c>
    </row>
    <row r="188" spans="1:20">
      <c r="A188" s="1" t="s">
        <v>33</v>
      </c>
      <c r="B188">
        <v>2014</v>
      </c>
      <c r="C188">
        <v>36.85</v>
      </c>
      <c r="D188">
        <v>7.9109999999999996</v>
      </c>
      <c r="E188">
        <v>8.6470000000000002</v>
      </c>
      <c r="F188">
        <v>8.7959999999999994</v>
      </c>
      <c r="G188">
        <v>17.324000000000002</v>
      </c>
      <c r="H188" s="3">
        <v>236178350686</v>
      </c>
      <c r="I188">
        <v>2011.211</v>
      </c>
      <c r="J188">
        <v>0.24714999999999998</v>
      </c>
      <c r="K188">
        <v>6.47</v>
      </c>
      <c r="L188">
        <v>19.39</v>
      </c>
      <c r="M188">
        <v>0.71</v>
      </c>
      <c r="N188">
        <v>0</v>
      </c>
      <c r="O188">
        <v>6.47</v>
      </c>
      <c r="P188">
        <v>0</v>
      </c>
      <c r="Q188">
        <v>5.22</v>
      </c>
      <c r="R188">
        <v>5.96</v>
      </c>
      <c r="S188" s="1">
        <v>2954.3314</v>
      </c>
      <c r="T188" s="1">
        <v>32.33</v>
      </c>
    </row>
    <row r="189" spans="1:20">
      <c r="A189" s="1" t="s">
        <v>33</v>
      </c>
      <c r="B189">
        <v>2015</v>
      </c>
      <c r="C189">
        <v>38.715000000000003</v>
      </c>
      <c r="D189">
        <v>8.2330000000000005</v>
      </c>
      <c r="E189">
        <v>9.3510000000000009</v>
      </c>
      <c r="F189">
        <v>8.8879999999999999</v>
      </c>
      <c r="G189">
        <v>18.202000000000002</v>
      </c>
      <c r="H189" s="3">
        <v>249955928768</v>
      </c>
      <c r="I189">
        <v>2469.8789999999999</v>
      </c>
      <c r="J189">
        <v>0.24399999999999999</v>
      </c>
      <c r="K189">
        <v>7.97</v>
      </c>
      <c r="L189">
        <v>20.18</v>
      </c>
      <c r="M189">
        <v>0.81</v>
      </c>
      <c r="N189">
        <v>0</v>
      </c>
      <c r="O189">
        <v>7.97</v>
      </c>
      <c r="P189">
        <v>0</v>
      </c>
      <c r="Q189">
        <v>6.68</v>
      </c>
      <c r="R189">
        <v>7.68</v>
      </c>
      <c r="S189" s="1">
        <v>3639.2613999999999</v>
      </c>
      <c r="T189" s="1">
        <v>36.119999999999997</v>
      </c>
    </row>
    <row r="190" spans="1:20">
      <c r="A190" s="1" t="s">
        <v>33</v>
      </c>
      <c r="B190">
        <v>2016</v>
      </c>
      <c r="C190">
        <v>40.369</v>
      </c>
      <c r="D190">
        <v>8.4920000000000009</v>
      </c>
      <c r="E190">
        <v>9.2050000000000001</v>
      </c>
      <c r="F190">
        <v>9.9130000000000003</v>
      </c>
      <c r="G190">
        <v>18.821999999999999</v>
      </c>
      <c r="H190" s="3">
        <v>255118282428</v>
      </c>
      <c r="I190">
        <v>2033.4490000000001</v>
      </c>
      <c r="J190">
        <v>0.2329</v>
      </c>
      <c r="K190">
        <v>7.61</v>
      </c>
      <c r="L190">
        <v>22.69</v>
      </c>
      <c r="M190">
        <v>0.68</v>
      </c>
      <c r="N190">
        <v>0</v>
      </c>
      <c r="O190">
        <v>7.61</v>
      </c>
      <c r="P190">
        <v>0</v>
      </c>
      <c r="Q190">
        <v>6.25</v>
      </c>
      <c r="R190">
        <v>5.35</v>
      </c>
      <c r="S190" s="1">
        <v>3474.8782000000001</v>
      </c>
      <c r="T190" s="1">
        <v>37.910000000000004</v>
      </c>
    </row>
    <row r="191" spans="1:20">
      <c r="A191" s="1" t="s">
        <v>33</v>
      </c>
      <c r="B191">
        <v>2017</v>
      </c>
      <c r="C191">
        <v>39.04</v>
      </c>
      <c r="D191">
        <v>8.1159999999999997</v>
      </c>
      <c r="E191">
        <v>7.87</v>
      </c>
      <c r="F191">
        <v>10.151999999999999</v>
      </c>
      <c r="G191">
        <v>18.614000000000001</v>
      </c>
      <c r="H191" s="3">
        <v>266528546717</v>
      </c>
      <c r="I191">
        <v>2045.537</v>
      </c>
      <c r="J191">
        <v>0.23299999999999998</v>
      </c>
      <c r="K191">
        <v>9.01</v>
      </c>
      <c r="L191">
        <v>21.78</v>
      </c>
      <c r="M191">
        <v>0.69</v>
      </c>
      <c r="N191">
        <v>0</v>
      </c>
      <c r="O191">
        <v>9.01</v>
      </c>
      <c r="P191">
        <v>0.01</v>
      </c>
      <c r="Q191">
        <v>7.57</v>
      </c>
      <c r="R191">
        <v>5.83</v>
      </c>
      <c r="S191" s="1">
        <v>4114.1462000000001</v>
      </c>
      <c r="T191" s="1">
        <v>39.799999999999997</v>
      </c>
    </row>
    <row r="192" spans="1:20">
      <c r="A192" s="1" t="s">
        <v>33</v>
      </c>
      <c r="B192">
        <v>2018</v>
      </c>
      <c r="C192">
        <v>38.921999999999997</v>
      </c>
      <c r="D192">
        <v>7.9880000000000004</v>
      </c>
      <c r="E192">
        <v>6.3540000000000001</v>
      </c>
      <c r="F192">
        <v>10.6</v>
      </c>
      <c r="G192">
        <v>19.388000000000002</v>
      </c>
      <c r="H192" s="3">
        <v>282500483309</v>
      </c>
      <c r="I192">
        <v>1428.2750000000001</v>
      </c>
      <c r="J192">
        <v>0.24540000000000001</v>
      </c>
      <c r="K192">
        <v>10.34</v>
      </c>
      <c r="L192">
        <v>20.7</v>
      </c>
      <c r="M192">
        <v>0.69</v>
      </c>
      <c r="N192">
        <v>0</v>
      </c>
      <c r="O192">
        <v>10.34</v>
      </c>
      <c r="P192">
        <v>0.02</v>
      </c>
      <c r="Q192">
        <v>8.7799999999999994</v>
      </c>
      <c r="R192">
        <v>15.88</v>
      </c>
      <c r="S192" s="1">
        <v>4721.4507999999996</v>
      </c>
      <c r="T192" s="1">
        <v>41.379999999999995</v>
      </c>
    </row>
    <row r="193" spans="1:20">
      <c r="A193" s="1" t="s">
        <v>33</v>
      </c>
      <c r="B193">
        <v>2019</v>
      </c>
      <c r="C193">
        <v>37.200000000000003</v>
      </c>
      <c r="D193">
        <v>7.54</v>
      </c>
      <c r="E193">
        <v>4.5430000000000001</v>
      </c>
      <c r="F193">
        <v>10.840999999999999</v>
      </c>
      <c r="G193">
        <v>19.382000000000001</v>
      </c>
      <c r="H193" s="3">
        <v>294503693886</v>
      </c>
      <c r="I193">
        <v>421.65199999999999</v>
      </c>
      <c r="J193">
        <v>0.24845</v>
      </c>
      <c r="K193">
        <v>11.95</v>
      </c>
      <c r="L193">
        <v>18.920000000000002</v>
      </c>
      <c r="M193">
        <v>0.89</v>
      </c>
      <c r="N193">
        <v>0</v>
      </c>
      <c r="O193">
        <v>11.95</v>
      </c>
      <c r="P193">
        <v>0.03</v>
      </c>
      <c r="Q193">
        <v>10.18</v>
      </c>
      <c r="R193">
        <v>24.84</v>
      </c>
      <c r="S193" s="1">
        <v>5456.6089999999995</v>
      </c>
      <c r="T193" s="1">
        <v>42.82</v>
      </c>
    </row>
    <row r="194" spans="1:20">
      <c r="A194" s="1" t="s">
        <v>33</v>
      </c>
      <c r="B194">
        <v>2020</v>
      </c>
      <c r="C194">
        <v>35.052999999999997</v>
      </c>
      <c r="D194">
        <v>7.0350000000000001</v>
      </c>
      <c r="E194">
        <v>3.7570000000000001</v>
      </c>
      <c r="F194">
        <v>10.954000000000001</v>
      </c>
      <c r="G194">
        <v>18.003</v>
      </c>
      <c r="H194" s="3">
        <v>274762344680</v>
      </c>
      <c r="I194">
        <v>425.27800000000002</v>
      </c>
      <c r="J194">
        <v>0.25124999999999997</v>
      </c>
      <c r="K194">
        <v>13.65</v>
      </c>
      <c r="L194">
        <v>18.510000000000002</v>
      </c>
      <c r="M194">
        <v>0.93</v>
      </c>
      <c r="N194">
        <v>0</v>
      </c>
      <c r="O194">
        <v>13.65</v>
      </c>
      <c r="P194">
        <v>0.06</v>
      </c>
      <c r="Q194">
        <v>11.74</v>
      </c>
      <c r="R194">
        <v>24.75</v>
      </c>
      <c r="S194" s="1">
        <v>6232.8630000000003</v>
      </c>
      <c r="T194" s="1">
        <v>45.81</v>
      </c>
    </row>
    <row r="195" spans="1:20">
      <c r="A195" s="1" t="s">
        <v>33</v>
      </c>
      <c r="B195">
        <v>2021</v>
      </c>
      <c r="C195">
        <v>37.473999999999997</v>
      </c>
      <c r="D195">
        <v>7.452</v>
      </c>
      <c r="E195">
        <v>4.9290000000000003</v>
      </c>
      <c r="F195">
        <v>10.44</v>
      </c>
      <c r="G195">
        <v>19.215</v>
      </c>
      <c r="H195" s="3">
        <v>287639621097</v>
      </c>
      <c r="I195">
        <v>1587.7</v>
      </c>
      <c r="J195">
        <v>0.27644999999999997</v>
      </c>
      <c r="K195">
        <v>11.76</v>
      </c>
      <c r="L195">
        <v>19.98</v>
      </c>
      <c r="M195">
        <v>0.75</v>
      </c>
      <c r="N195">
        <v>0</v>
      </c>
      <c r="O195">
        <v>11.76</v>
      </c>
      <c r="P195">
        <v>0.08</v>
      </c>
      <c r="Q195">
        <v>9.94</v>
      </c>
      <c r="R195">
        <v>53.55</v>
      </c>
      <c r="S195" s="1">
        <v>5369.8512000000001</v>
      </c>
      <c r="T195" s="1">
        <v>43.5</v>
      </c>
    </row>
    <row r="196" spans="1:20">
      <c r="A196" s="1" t="s">
        <v>33</v>
      </c>
      <c r="B196">
        <v>2022</v>
      </c>
      <c r="C196">
        <v>36.676000000000002</v>
      </c>
      <c r="D196">
        <v>7.1769999999999996</v>
      </c>
      <c r="E196">
        <v>4.0359999999999996</v>
      </c>
      <c r="F196">
        <v>10.76</v>
      </c>
      <c r="G196">
        <v>19.149999999999999</v>
      </c>
      <c r="H196" s="3">
        <v>308390920561</v>
      </c>
      <c r="I196">
        <v>1493.3510000000001</v>
      </c>
      <c r="J196">
        <v>0.27744999999999997</v>
      </c>
      <c r="K196">
        <v>13.25</v>
      </c>
      <c r="L196">
        <v>20.54</v>
      </c>
      <c r="M196">
        <v>0.7</v>
      </c>
      <c r="N196">
        <v>0</v>
      </c>
      <c r="O196">
        <v>13.25</v>
      </c>
      <c r="P196">
        <v>0.15</v>
      </c>
      <c r="Q196">
        <v>11.39</v>
      </c>
      <c r="R196">
        <v>80.87</v>
      </c>
      <c r="S196" s="1">
        <v>6050.2150000000001</v>
      </c>
      <c r="T196" s="1">
        <v>47.04</v>
      </c>
    </row>
    <row r="197" spans="1:20">
      <c r="A197" s="1" t="s">
        <v>33</v>
      </c>
      <c r="B197">
        <v>2023</v>
      </c>
      <c r="C197">
        <v>33.567999999999998</v>
      </c>
      <c r="D197">
        <v>6.46</v>
      </c>
      <c r="E197">
        <v>2.6850000000000001</v>
      </c>
      <c r="F197">
        <v>9.9960000000000004</v>
      </c>
      <c r="G197">
        <v>18.457999999999998</v>
      </c>
      <c r="H197" s="3">
        <v>308390920561</v>
      </c>
      <c r="I197">
        <v>635.33199999999999</v>
      </c>
      <c r="J197">
        <v>0.32645000000000002</v>
      </c>
      <c r="K197">
        <v>14.28</v>
      </c>
      <c r="L197">
        <v>17.260000000000002</v>
      </c>
      <c r="M197">
        <v>0.94</v>
      </c>
      <c r="N197">
        <v>0</v>
      </c>
      <c r="O197">
        <v>14.28</v>
      </c>
      <c r="P197">
        <v>0.65</v>
      </c>
      <c r="Q197">
        <v>11.86</v>
      </c>
      <c r="R197">
        <v>85.3</v>
      </c>
      <c r="S197" s="1">
        <v>6520.5335999999998</v>
      </c>
      <c r="T197" s="1">
        <v>45.82</v>
      </c>
    </row>
    <row r="198" spans="1:20">
      <c r="A198" s="1" t="s">
        <v>34</v>
      </c>
      <c r="B198">
        <v>2010</v>
      </c>
      <c r="C198">
        <v>435.67200000000003</v>
      </c>
      <c r="D198">
        <v>7.2409999999999997</v>
      </c>
      <c r="E198">
        <v>58.218000000000004</v>
      </c>
      <c r="F198">
        <v>164.34700000000001</v>
      </c>
      <c r="G198">
        <v>193.166</v>
      </c>
      <c r="H198" s="3">
        <v>2080545936781</v>
      </c>
      <c r="I198">
        <v>22130</v>
      </c>
      <c r="J198">
        <v>0.19425000000000001</v>
      </c>
      <c r="K198">
        <v>76.97</v>
      </c>
      <c r="L198">
        <v>219.66</v>
      </c>
      <c r="M198">
        <v>51.12</v>
      </c>
      <c r="N198">
        <v>0</v>
      </c>
      <c r="O198">
        <v>76.97</v>
      </c>
      <c r="P198">
        <v>1.91</v>
      </c>
      <c r="Q198">
        <v>9.1199999999999992</v>
      </c>
      <c r="R198">
        <v>14.38</v>
      </c>
      <c r="S198" s="1">
        <v>35146.041400000002</v>
      </c>
      <c r="T198" s="1">
        <v>373.6</v>
      </c>
    </row>
    <row r="199" spans="1:20">
      <c r="A199" s="1" t="s">
        <v>34</v>
      </c>
      <c r="B199">
        <v>2011</v>
      </c>
      <c r="C199">
        <v>423.89699999999999</v>
      </c>
      <c r="D199">
        <v>7.0220000000000002</v>
      </c>
      <c r="E199">
        <v>65.438999999999993</v>
      </c>
      <c r="F199">
        <v>153</v>
      </c>
      <c r="G199">
        <v>185.899</v>
      </c>
      <c r="H199" s="3">
        <v>2110883320816</v>
      </c>
      <c r="I199">
        <v>23504</v>
      </c>
      <c r="J199">
        <v>0.2026</v>
      </c>
      <c r="K199">
        <v>82.95</v>
      </c>
      <c r="L199">
        <v>215.42</v>
      </c>
      <c r="M199">
        <v>45.82</v>
      </c>
      <c r="N199">
        <v>0</v>
      </c>
      <c r="O199">
        <v>82.95</v>
      </c>
      <c r="P199">
        <v>10.8</v>
      </c>
      <c r="Q199">
        <v>9.85</v>
      </c>
      <c r="R199">
        <v>13.07</v>
      </c>
      <c r="S199" s="1">
        <v>37876.629000000001</v>
      </c>
      <c r="T199" s="1">
        <v>381.32</v>
      </c>
    </row>
    <row r="200" spans="1:20">
      <c r="A200" s="1" t="s">
        <v>34</v>
      </c>
      <c r="B200">
        <v>2012</v>
      </c>
      <c r="C200">
        <v>403.44400000000002</v>
      </c>
      <c r="D200">
        <v>6.665</v>
      </c>
      <c r="E200">
        <v>66.959000000000003</v>
      </c>
      <c r="F200">
        <v>147.714</v>
      </c>
      <c r="G200">
        <v>172.22399999999999</v>
      </c>
      <c r="H200" s="3">
        <v>2047959835066</v>
      </c>
      <c r="I200">
        <v>24501</v>
      </c>
      <c r="J200">
        <v>0.22144999999999998</v>
      </c>
      <c r="K200">
        <v>92.22</v>
      </c>
      <c r="L200">
        <v>203.03</v>
      </c>
      <c r="M200">
        <v>41.87</v>
      </c>
      <c r="N200">
        <v>0</v>
      </c>
      <c r="O200">
        <v>92.22</v>
      </c>
      <c r="P200">
        <v>18.86</v>
      </c>
      <c r="Q200">
        <v>13.41</v>
      </c>
      <c r="R200">
        <v>7.33</v>
      </c>
      <c r="S200" s="1">
        <v>42109.496399999996</v>
      </c>
      <c r="T200" s="1">
        <v>387.47</v>
      </c>
    </row>
    <row r="201" spans="1:20">
      <c r="A201" s="1" t="s">
        <v>34</v>
      </c>
      <c r="B201">
        <v>2013</v>
      </c>
      <c r="C201">
        <v>369.46100000000001</v>
      </c>
      <c r="D201">
        <v>6.0910000000000002</v>
      </c>
      <c r="E201">
        <v>57.781999999999996</v>
      </c>
      <c r="F201">
        <v>137.70099999999999</v>
      </c>
      <c r="G201">
        <v>158.74</v>
      </c>
      <c r="H201" s="3">
        <v>2010255414011</v>
      </c>
      <c r="I201">
        <v>21066</v>
      </c>
      <c r="J201">
        <v>0.23075000000000001</v>
      </c>
      <c r="K201">
        <v>112</v>
      </c>
      <c r="L201">
        <v>174.02</v>
      </c>
      <c r="M201">
        <v>52.77</v>
      </c>
      <c r="N201">
        <v>0</v>
      </c>
      <c r="O201">
        <v>112</v>
      </c>
      <c r="P201">
        <v>21.59</v>
      </c>
      <c r="Q201">
        <v>14.9</v>
      </c>
      <c r="R201">
        <v>4.45</v>
      </c>
      <c r="S201" s="1">
        <v>51141.440000000002</v>
      </c>
      <c r="T201" s="1">
        <v>398.02</v>
      </c>
    </row>
    <row r="202" spans="1:20">
      <c r="A202" s="1" t="s">
        <v>34</v>
      </c>
      <c r="B202">
        <v>2014</v>
      </c>
      <c r="C202">
        <v>349.38900000000001</v>
      </c>
      <c r="D202">
        <v>5.7590000000000003</v>
      </c>
      <c r="E202">
        <v>55.837000000000003</v>
      </c>
      <c r="F202">
        <v>121.589</v>
      </c>
      <c r="G202">
        <v>157.626</v>
      </c>
      <c r="H202" s="3">
        <v>2010164047423</v>
      </c>
      <c r="I202">
        <v>21147</v>
      </c>
      <c r="J202">
        <v>0.23920000000000002</v>
      </c>
      <c r="K202">
        <v>120.68</v>
      </c>
      <c r="L202">
        <v>155.85</v>
      </c>
      <c r="M202">
        <v>58.55</v>
      </c>
      <c r="N202">
        <v>0</v>
      </c>
      <c r="O202">
        <v>120.68</v>
      </c>
      <c r="P202">
        <v>22.31</v>
      </c>
      <c r="Q202">
        <v>15.18</v>
      </c>
      <c r="R202">
        <v>5.96</v>
      </c>
      <c r="S202" s="1">
        <v>55104.901600000005</v>
      </c>
      <c r="T202" s="1">
        <v>397.21</v>
      </c>
    </row>
    <row r="203" spans="1:20">
      <c r="A203" s="1" t="s">
        <v>34</v>
      </c>
      <c r="B203">
        <v>2015</v>
      </c>
      <c r="C203">
        <v>361.24400000000003</v>
      </c>
      <c r="D203">
        <v>5.9640000000000004</v>
      </c>
      <c r="E203">
        <v>53.063000000000002</v>
      </c>
      <c r="F203">
        <v>132.75700000000001</v>
      </c>
      <c r="G203">
        <v>161.42599999999999</v>
      </c>
      <c r="H203" s="3">
        <v>2025809415322</v>
      </c>
      <c r="I203">
        <v>20316</v>
      </c>
      <c r="J203">
        <v>0.24390000000000001</v>
      </c>
      <c r="K203">
        <v>108.89</v>
      </c>
      <c r="L203">
        <v>170.81</v>
      </c>
      <c r="M203">
        <v>45.54</v>
      </c>
      <c r="N203">
        <v>0</v>
      </c>
      <c r="O203">
        <v>108.89</v>
      </c>
      <c r="P203">
        <v>22.94</v>
      </c>
      <c r="Q203">
        <v>14.84</v>
      </c>
      <c r="R203">
        <v>7.68</v>
      </c>
      <c r="S203" s="1">
        <v>49721.351800000004</v>
      </c>
      <c r="T203" s="1">
        <v>388.59</v>
      </c>
    </row>
    <row r="204" spans="1:20">
      <c r="A204" s="1" t="s">
        <v>34</v>
      </c>
      <c r="B204">
        <v>2016</v>
      </c>
      <c r="C204">
        <v>358.13299999999998</v>
      </c>
      <c r="D204">
        <v>5.9219999999999997</v>
      </c>
      <c r="E204">
        <v>48.302</v>
      </c>
      <c r="F204">
        <v>140.79499999999999</v>
      </c>
      <c r="G204">
        <v>156.02000000000001</v>
      </c>
      <c r="H204" s="3">
        <v>2052012434345</v>
      </c>
      <c r="I204">
        <v>17693</v>
      </c>
      <c r="J204">
        <v>0.23014999999999999</v>
      </c>
      <c r="K204">
        <v>108.01</v>
      </c>
      <c r="L204">
        <v>177.94</v>
      </c>
      <c r="M204">
        <v>42.43</v>
      </c>
      <c r="N204">
        <v>0</v>
      </c>
      <c r="O204">
        <v>108.01</v>
      </c>
      <c r="P204">
        <v>22.1</v>
      </c>
      <c r="Q204">
        <v>17.690000000000001</v>
      </c>
      <c r="R204">
        <v>5.35</v>
      </c>
      <c r="S204" s="1">
        <v>49319.5262</v>
      </c>
      <c r="T204" s="1">
        <v>393.96</v>
      </c>
    </row>
    <row r="205" spans="1:20">
      <c r="A205" s="1" t="s">
        <v>34</v>
      </c>
      <c r="B205">
        <v>2017</v>
      </c>
      <c r="C205">
        <v>352.666</v>
      </c>
      <c r="D205">
        <v>5.84</v>
      </c>
      <c r="E205">
        <v>41.798000000000002</v>
      </c>
      <c r="F205">
        <v>148.761</v>
      </c>
      <c r="G205">
        <v>148.755</v>
      </c>
      <c r="H205" s="3">
        <v>2086237040647</v>
      </c>
      <c r="I205">
        <v>15920.448</v>
      </c>
      <c r="J205">
        <v>0.21060000000000001</v>
      </c>
      <c r="K205">
        <v>103.89</v>
      </c>
      <c r="L205">
        <v>188.2</v>
      </c>
      <c r="M205">
        <v>36.200000000000003</v>
      </c>
      <c r="N205">
        <v>0</v>
      </c>
      <c r="O205">
        <v>103.89</v>
      </c>
      <c r="P205">
        <v>24.38</v>
      </c>
      <c r="Q205">
        <v>17.739999999999998</v>
      </c>
      <c r="R205">
        <v>5.83</v>
      </c>
      <c r="S205" s="1">
        <v>47438.251799999998</v>
      </c>
      <c r="T205" s="1">
        <v>395.97999999999996</v>
      </c>
    </row>
    <row r="206" spans="1:20">
      <c r="A206" s="1" t="s">
        <v>34</v>
      </c>
      <c r="B206">
        <v>2018</v>
      </c>
      <c r="C206">
        <v>349.048</v>
      </c>
      <c r="D206">
        <v>5.7910000000000004</v>
      </c>
      <c r="E206">
        <v>39.213000000000001</v>
      </c>
      <c r="F206">
        <v>143.67500000000001</v>
      </c>
      <c r="G206">
        <v>152.744</v>
      </c>
      <c r="H206" s="3">
        <v>2105551772855</v>
      </c>
      <c r="I206">
        <v>14804.231</v>
      </c>
      <c r="J206">
        <v>0.21139999999999998</v>
      </c>
      <c r="K206">
        <v>114.41</v>
      </c>
      <c r="L206">
        <v>171.65</v>
      </c>
      <c r="M206">
        <v>48.79</v>
      </c>
      <c r="N206">
        <v>0</v>
      </c>
      <c r="O206">
        <v>114.41</v>
      </c>
      <c r="P206">
        <v>22.65</v>
      </c>
      <c r="Q206">
        <v>17.72</v>
      </c>
      <c r="R206">
        <v>15.88</v>
      </c>
      <c r="S206" s="1">
        <v>52241.894200000002</v>
      </c>
      <c r="T206" s="1">
        <v>400.47</v>
      </c>
    </row>
    <row r="207" spans="1:20">
      <c r="A207" s="1" t="s">
        <v>34</v>
      </c>
      <c r="B207">
        <v>2019</v>
      </c>
      <c r="C207">
        <v>339.63799999999998</v>
      </c>
      <c r="D207">
        <v>5.6479999999999997</v>
      </c>
      <c r="E207">
        <v>30.48</v>
      </c>
      <c r="F207">
        <v>146.77500000000001</v>
      </c>
      <c r="G207">
        <v>148.49100000000001</v>
      </c>
      <c r="H207" s="3">
        <v>2115725732767</v>
      </c>
      <c r="I207">
        <v>10844.556</v>
      </c>
      <c r="J207">
        <v>0.2321</v>
      </c>
      <c r="K207">
        <v>115.83</v>
      </c>
      <c r="L207">
        <v>174.16</v>
      </c>
      <c r="M207">
        <v>46.32</v>
      </c>
      <c r="N207">
        <v>0</v>
      </c>
      <c r="O207">
        <v>115.83</v>
      </c>
      <c r="P207">
        <v>23.69</v>
      </c>
      <c r="Q207">
        <v>20.2</v>
      </c>
      <c r="R207">
        <v>24.84</v>
      </c>
      <c r="S207" s="1">
        <v>52890.294600000001</v>
      </c>
      <c r="T207" s="1">
        <v>405.82</v>
      </c>
    </row>
    <row r="208" spans="1:20">
      <c r="A208" s="1" t="s">
        <v>34</v>
      </c>
      <c r="B208">
        <v>2020</v>
      </c>
      <c r="C208">
        <v>302.60000000000002</v>
      </c>
      <c r="D208">
        <v>5.0510000000000002</v>
      </c>
      <c r="E208">
        <v>22.119</v>
      </c>
      <c r="F208">
        <v>140.81800000000001</v>
      </c>
      <c r="G208">
        <v>127.568</v>
      </c>
      <c r="H208" s="3">
        <v>1925751927111</v>
      </c>
      <c r="I208">
        <v>7607.6589999999997</v>
      </c>
      <c r="J208">
        <v>0.21894999999999998</v>
      </c>
      <c r="K208">
        <v>116.9</v>
      </c>
      <c r="L208">
        <v>159.91</v>
      </c>
      <c r="M208">
        <v>47.55</v>
      </c>
      <c r="N208">
        <v>0</v>
      </c>
      <c r="O208">
        <v>116.9</v>
      </c>
      <c r="P208">
        <v>24.94</v>
      </c>
      <c r="Q208">
        <v>18.760000000000002</v>
      </c>
      <c r="R208">
        <v>24.75</v>
      </c>
      <c r="S208" s="1">
        <v>53378.878000000004</v>
      </c>
      <c r="T208" s="1">
        <v>393.71000000000004</v>
      </c>
    </row>
    <row r="209" spans="1:20">
      <c r="A209" s="1" t="s">
        <v>34</v>
      </c>
      <c r="B209">
        <v>2021</v>
      </c>
      <c r="C209">
        <v>335.93</v>
      </c>
      <c r="D209">
        <v>5.6239999999999997</v>
      </c>
      <c r="E209">
        <v>24.57</v>
      </c>
      <c r="F209">
        <v>152.32499999999999</v>
      </c>
      <c r="G209">
        <v>145.904</v>
      </c>
      <c r="H209" s="3">
        <v>2060299944789</v>
      </c>
      <c r="I209">
        <v>8548.3889999999992</v>
      </c>
      <c r="J209">
        <v>0.23094999999999999</v>
      </c>
      <c r="K209">
        <v>116.33</v>
      </c>
      <c r="L209">
        <v>169.16</v>
      </c>
      <c r="M209">
        <v>45.39</v>
      </c>
      <c r="N209">
        <v>0</v>
      </c>
      <c r="O209">
        <v>116.33</v>
      </c>
      <c r="P209">
        <v>25.04</v>
      </c>
      <c r="Q209">
        <v>20.93</v>
      </c>
      <c r="R209">
        <v>53.55</v>
      </c>
      <c r="S209" s="1">
        <v>53118.604599999999</v>
      </c>
      <c r="T209" s="1">
        <v>401.82</v>
      </c>
    </row>
    <row r="210" spans="1:20">
      <c r="A210" s="1" t="s">
        <v>34</v>
      </c>
      <c r="B210">
        <v>2022</v>
      </c>
      <c r="C210">
        <v>340.11500000000001</v>
      </c>
      <c r="D210">
        <v>5.7050000000000001</v>
      </c>
      <c r="E210">
        <v>31.341000000000001</v>
      </c>
      <c r="F210">
        <v>137.55000000000001</v>
      </c>
      <c r="G210">
        <v>159.14500000000001</v>
      </c>
      <c r="H210" s="3">
        <v>2136009300257</v>
      </c>
      <c r="I210">
        <v>12125.89</v>
      </c>
      <c r="J210">
        <v>0.33779999999999999</v>
      </c>
      <c r="K210">
        <v>100.46</v>
      </c>
      <c r="L210">
        <v>179.71</v>
      </c>
      <c r="M210">
        <v>28.4</v>
      </c>
      <c r="N210">
        <v>0</v>
      </c>
      <c r="O210">
        <v>100.46</v>
      </c>
      <c r="P210">
        <v>28.12</v>
      </c>
      <c r="Q210">
        <v>20.49</v>
      </c>
      <c r="R210">
        <v>80.87</v>
      </c>
      <c r="S210" s="1">
        <v>45872.0452</v>
      </c>
      <c r="T210" s="1">
        <v>380.63</v>
      </c>
    </row>
    <row r="211" spans="1:20">
      <c r="A211" s="1" t="s">
        <v>34</v>
      </c>
      <c r="B211">
        <v>2023</v>
      </c>
      <c r="C211">
        <v>312.291</v>
      </c>
      <c r="D211">
        <v>5.2489999999999997</v>
      </c>
      <c r="E211">
        <v>21.669</v>
      </c>
      <c r="F211">
        <v>124.461</v>
      </c>
      <c r="G211">
        <v>154.654</v>
      </c>
      <c r="H211" s="3">
        <v>2136009300257</v>
      </c>
      <c r="I211">
        <v>7398.5739999999996</v>
      </c>
      <c r="J211">
        <v>0.35644999999999999</v>
      </c>
      <c r="K211">
        <v>116.52</v>
      </c>
      <c r="L211">
        <v>145.03</v>
      </c>
      <c r="M211">
        <v>40.520000000000003</v>
      </c>
      <c r="N211">
        <v>0</v>
      </c>
      <c r="O211">
        <v>116.52</v>
      </c>
      <c r="P211">
        <v>30.71</v>
      </c>
      <c r="Q211">
        <v>23.59</v>
      </c>
      <c r="R211">
        <v>85.3</v>
      </c>
      <c r="S211" s="1">
        <v>53205.362399999998</v>
      </c>
      <c r="T211" s="1">
        <v>378.07</v>
      </c>
    </row>
    <row r="212" spans="1:20">
      <c r="A212" s="1" t="s">
        <v>35</v>
      </c>
      <c r="B212">
        <v>2010</v>
      </c>
      <c r="C212">
        <v>8.5549999999999997</v>
      </c>
      <c r="D212">
        <v>4.0780000000000003</v>
      </c>
      <c r="E212">
        <v>0.45500000000000002</v>
      </c>
      <c r="F212">
        <v>3.3929999999999998</v>
      </c>
      <c r="G212">
        <v>4.2510000000000003</v>
      </c>
      <c r="H212" s="3">
        <v>35881177042</v>
      </c>
      <c r="I212">
        <v>183</v>
      </c>
      <c r="J212">
        <v>0.10485</v>
      </c>
      <c r="K212">
        <v>3.64</v>
      </c>
      <c r="L212">
        <v>2.99</v>
      </c>
      <c r="M212">
        <v>3.52</v>
      </c>
      <c r="N212">
        <v>0</v>
      </c>
      <c r="O212">
        <v>3.64</v>
      </c>
      <c r="P212">
        <v>0</v>
      </c>
      <c r="Q212">
        <v>0.05</v>
      </c>
      <c r="R212">
        <v>14.38</v>
      </c>
      <c r="S212" s="1">
        <v>1662.0968</v>
      </c>
      <c r="T212" s="1">
        <v>10.270000000000001</v>
      </c>
    </row>
    <row r="213" spans="1:20">
      <c r="A213" s="1" t="s">
        <v>35</v>
      </c>
      <c r="B213">
        <v>2011</v>
      </c>
      <c r="C213">
        <v>7.8079999999999998</v>
      </c>
      <c r="D213">
        <v>3.7909999999999999</v>
      </c>
      <c r="E213">
        <v>0.442</v>
      </c>
      <c r="F213">
        <v>2.9750000000000001</v>
      </c>
      <c r="G213">
        <v>3.8130000000000002</v>
      </c>
      <c r="H213" s="3">
        <v>37869724459</v>
      </c>
      <c r="I213">
        <v>186</v>
      </c>
      <c r="J213">
        <v>0.1255</v>
      </c>
      <c r="K213">
        <v>3.08</v>
      </c>
      <c r="L213">
        <v>3.01</v>
      </c>
      <c r="M213">
        <v>2.89</v>
      </c>
      <c r="N213">
        <v>0</v>
      </c>
      <c r="O213">
        <v>3.08</v>
      </c>
      <c r="P213">
        <v>0</v>
      </c>
      <c r="Q213">
        <v>7.0000000000000007E-2</v>
      </c>
      <c r="R213">
        <v>13.07</v>
      </c>
      <c r="S213" s="1">
        <v>1406.3896</v>
      </c>
      <c r="T213" s="1">
        <v>9.17</v>
      </c>
    </row>
    <row r="214" spans="1:20">
      <c r="A214" s="1" t="s">
        <v>35</v>
      </c>
      <c r="B214">
        <v>2012</v>
      </c>
      <c r="C214">
        <v>7.52</v>
      </c>
      <c r="D214">
        <v>3.6960000000000002</v>
      </c>
      <c r="E214">
        <v>0.4</v>
      </c>
      <c r="F214">
        <v>2.7919999999999998</v>
      </c>
      <c r="G214">
        <v>3.73</v>
      </c>
      <c r="H214" s="3">
        <v>40536567235</v>
      </c>
      <c r="I214">
        <v>150</v>
      </c>
      <c r="J214">
        <v>0.13755000000000001</v>
      </c>
      <c r="K214">
        <v>4.1100000000000003</v>
      </c>
      <c r="L214">
        <v>2.06</v>
      </c>
      <c r="M214">
        <v>3.71</v>
      </c>
      <c r="N214">
        <v>0</v>
      </c>
      <c r="O214">
        <v>4.1100000000000003</v>
      </c>
      <c r="P214">
        <v>0</v>
      </c>
      <c r="Q214">
        <v>0.11</v>
      </c>
      <c r="R214">
        <v>7.33</v>
      </c>
      <c r="S214" s="1">
        <v>1876.7082000000003</v>
      </c>
      <c r="T214" s="1">
        <v>10.280000000000001</v>
      </c>
    </row>
    <row r="215" spans="1:20">
      <c r="A215" s="1" t="s">
        <v>35</v>
      </c>
      <c r="B215">
        <v>2013</v>
      </c>
      <c r="C215">
        <v>7.3689999999999998</v>
      </c>
      <c r="D215">
        <v>3.661</v>
      </c>
      <c r="E215">
        <v>0.30099999999999999</v>
      </c>
      <c r="F215">
        <v>2.7290000000000001</v>
      </c>
      <c r="G215">
        <v>3.7709999999999999</v>
      </c>
      <c r="H215" s="3">
        <v>41350512828</v>
      </c>
      <c r="I215">
        <v>120</v>
      </c>
      <c r="J215">
        <v>0.1368</v>
      </c>
      <c r="K215">
        <v>3.53</v>
      </c>
      <c r="L215">
        <v>2.67</v>
      </c>
      <c r="M215">
        <v>2.91</v>
      </c>
      <c r="N215">
        <v>0</v>
      </c>
      <c r="O215">
        <v>3.53</v>
      </c>
      <c r="P215">
        <v>0</v>
      </c>
      <c r="Q215">
        <v>0.12</v>
      </c>
      <c r="R215">
        <v>4.45</v>
      </c>
      <c r="S215" s="1">
        <v>1611.8686</v>
      </c>
      <c r="T215" s="1">
        <v>9.7299999999999986</v>
      </c>
    </row>
    <row r="216" spans="1:20">
      <c r="A216" s="1" t="s">
        <v>35</v>
      </c>
      <c r="B216">
        <v>2014</v>
      </c>
      <c r="C216">
        <v>7.1719999999999997</v>
      </c>
      <c r="D216">
        <v>3.597</v>
      </c>
      <c r="E216">
        <v>0.24199999999999999</v>
      </c>
      <c r="F216">
        <v>2.448</v>
      </c>
      <c r="G216">
        <v>3.89</v>
      </c>
      <c r="H216" s="3">
        <v>42137028688</v>
      </c>
      <c r="I216">
        <v>85</v>
      </c>
      <c r="J216">
        <v>0.1333</v>
      </c>
      <c r="K216">
        <v>2.8</v>
      </c>
      <c r="L216">
        <v>2.34</v>
      </c>
      <c r="M216">
        <v>1.99</v>
      </c>
      <c r="N216">
        <v>0</v>
      </c>
      <c r="O216">
        <v>2.8</v>
      </c>
      <c r="P216">
        <v>0</v>
      </c>
      <c r="Q216">
        <v>0.14000000000000001</v>
      </c>
      <c r="R216">
        <v>5.96</v>
      </c>
      <c r="S216" s="1">
        <v>1278.5359999999998</v>
      </c>
      <c r="T216" s="1">
        <v>7.9399999999999995</v>
      </c>
    </row>
    <row r="217" spans="1:20">
      <c r="A217" s="1" t="s">
        <v>35</v>
      </c>
      <c r="B217">
        <v>2015</v>
      </c>
      <c r="C217">
        <v>7.2619999999999996</v>
      </c>
      <c r="D217">
        <v>3.6720000000000002</v>
      </c>
      <c r="E217">
        <v>0.19</v>
      </c>
      <c r="F217">
        <v>2.5059999999999998</v>
      </c>
      <c r="G217">
        <v>4.0670000000000002</v>
      </c>
      <c r="H217" s="3">
        <v>43774190659</v>
      </c>
      <c r="I217">
        <v>71</v>
      </c>
      <c r="J217">
        <v>0.16425000000000001</v>
      </c>
      <c r="K217">
        <v>2.78</v>
      </c>
      <c r="L217">
        <v>2.76</v>
      </c>
      <c r="M217">
        <v>1.86</v>
      </c>
      <c r="N217">
        <v>0</v>
      </c>
      <c r="O217">
        <v>2.78</v>
      </c>
      <c r="P217">
        <v>0</v>
      </c>
      <c r="Q217">
        <v>0.15</v>
      </c>
      <c r="R217">
        <v>7.68</v>
      </c>
      <c r="S217" s="1">
        <v>1269.4035999999999</v>
      </c>
      <c r="T217" s="1">
        <v>8.3199999999999985</v>
      </c>
    </row>
    <row r="218" spans="1:20">
      <c r="A218" s="1" t="s">
        <v>35</v>
      </c>
      <c r="B218">
        <v>2016</v>
      </c>
      <c r="C218">
        <v>7.2110000000000003</v>
      </c>
      <c r="D218">
        <v>3.6789999999999998</v>
      </c>
      <c r="E218">
        <v>0.16600000000000001</v>
      </c>
      <c r="F218">
        <v>2.6070000000000002</v>
      </c>
      <c r="G218">
        <v>4.0590000000000002</v>
      </c>
      <c r="H218" s="3">
        <v>44810998817</v>
      </c>
      <c r="I218">
        <v>67</v>
      </c>
      <c r="J218">
        <v>0.16259999999999999</v>
      </c>
      <c r="K218">
        <v>3.48</v>
      </c>
      <c r="L218">
        <v>2.94</v>
      </c>
      <c r="M218">
        <v>2.5299999999999998</v>
      </c>
      <c r="N218">
        <v>0</v>
      </c>
      <c r="O218">
        <v>3.48</v>
      </c>
      <c r="P218">
        <v>0</v>
      </c>
      <c r="Q218">
        <v>0.13</v>
      </c>
      <c r="R218">
        <v>5.35</v>
      </c>
      <c r="S218" s="1">
        <v>1589.0376000000001</v>
      </c>
      <c r="T218" s="1">
        <v>9.9</v>
      </c>
    </row>
    <row r="219" spans="1:20">
      <c r="A219" s="1" t="s">
        <v>35</v>
      </c>
      <c r="B219">
        <v>2017</v>
      </c>
      <c r="C219">
        <v>7.2149999999999999</v>
      </c>
      <c r="D219">
        <v>3.714</v>
      </c>
      <c r="E219">
        <v>0.16700000000000001</v>
      </c>
      <c r="F219">
        <v>2.2989999999999999</v>
      </c>
      <c r="G219">
        <v>4.2770000000000001</v>
      </c>
      <c r="H219" s="3">
        <v>46295495418</v>
      </c>
      <c r="I219">
        <v>67.905000000000001</v>
      </c>
      <c r="J219">
        <v>0.15839999999999999</v>
      </c>
      <c r="K219">
        <v>5.46</v>
      </c>
      <c r="L219">
        <v>2.0699999999999998</v>
      </c>
      <c r="M219">
        <v>4.38</v>
      </c>
      <c r="N219">
        <v>0</v>
      </c>
      <c r="O219">
        <v>5.46</v>
      </c>
      <c r="P219">
        <v>0</v>
      </c>
      <c r="Q219">
        <v>0.15</v>
      </c>
      <c r="R219">
        <v>5.83</v>
      </c>
      <c r="S219" s="1">
        <v>2493.1451999999999</v>
      </c>
      <c r="T219" s="1">
        <v>12.989999999999998</v>
      </c>
    </row>
    <row r="220" spans="1:20">
      <c r="A220" s="1" t="s">
        <v>35</v>
      </c>
      <c r="B220">
        <v>2018</v>
      </c>
      <c r="C220">
        <v>7.843</v>
      </c>
      <c r="D220">
        <v>4.069</v>
      </c>
      <c r="E220">
        <v>0.19700000000000001</v>
      </c>
      <c r="F220">
        <v>2.7040000000000002</v>
      </c>
      <c r="G220">
        <v>4.3460000000000001</v>
      </c>
      <c r="H220" s="3">
        <v>48143398790</v>
      </c>
      <c r="I220">
        <v>81.611999999999995</v>
      </c>
      <c r="J220">
        <v>0.15210000000000001</v>
      </c>
      <c r="K220">
        <v>3.49</v>
      </c>
      <c r="L220">
        <v>3.23</v>
      </c>
      <c r="M220">
        <v>2.4300000000000002</v>
      </c>
      <c r="N220">
        <v>0</v>
      </c>
      <c r="O220">
        <v>3.49</v>
      </c>
      <c r="P220">
        <v>0</v>
      </c>
      <c r="Q220">
        <v>0.12</v>
      </c>
      <c r="R220">
        <v>15.88</v>
      </c>
      <c r="S220" s="1">
        <v>1593.6038000000001</v>
      </c>
      <c r="T220" s="1">
        <v>10.210000000000001</v>
      </c>
    </row>
    <row r="221" spans="1:20">
      <c r="A221" s="1" t="s">
        <v>35</v>
      </c>
      <c r="B221">
        <v>2019</v>
      </c>
      <c r="C221">
        <v>7.633</v>
      </c>
      <c r="D221">
        <v>3.988</v>
      </c>
      <c r="E221">
        <v>0.16600000000000001</v>
      </c>
      <c r="F221">
        <v>2.548</v>
      </c>
      <c r="G221">
        <v>4.3029999999999999</v>
      </c>
      <c r="H221" s="3">
        <v>49380620266</v>
      </c>
      <c r="I221">
        <v>79.462999999999994</v>
      </c>
      <c r="J221">
        <v>0.16344999999999998</v>
      </c>
      <c r="K221">
        <v>3.19</v>
      </c>
      <c r="L221">
        <v>3.25</v>
      </c>
      <c r="M221">
        <v>2.11</v>
      </c>
      <c r="N221">
        <v>0</v>
      </c>
      <c r="O221">
        <v>3.19</v>
      </c>
      <c r="P221">
        <v>0</v>
      </c>
      <c r="Q221">
        <v>0.15</v>
      </c>
      <c r="R221">
        <v>24.84</v>
      </c>
      <c r="S221" s="1">
        <v>1456.6178</v>
      </c>
      <c r="T221" s="1">
        <v>9.629999999999999</v>
      </c>
    </row>
    <row r="222" spans="1:20">
      <c r="A222" s="1" t="s">
        <v>35</v>
      </c>
      <c r="B222">
        <v>2020</v>
      </c>
      <c r="C222">
        <v>6.9989999999999997</v>
      </c>
      <c r="D222">
        <v>3.6819999999999999</v>
      </c>
      <c r="E222">
        <v>0.1</v>
      </c>
      <c r="F222">
        <v>2.1030000000000002</v>
      </c>
      <c r="G222">
        <v>4.1740000000000004</v>
      </c>
      <c r="H222" s="3">
        <v>48292861660</v>
      </c>
      <c r="I222">
        <v>39.767000000000003</v>
      </c>
      <c r="J222">
        <v>0.1426</v>
      </c>
      <c r="K222">
        <v>3.64</v>
      </c>
      <c r="L222">
        <v>2.08</v>
      </c>
      <c r="M222">
        <v>2.6</v>
      </c>
      <c r="N222">
        <v>0</v>
      </c>
      <c r="O222">
        <v>3.64</v>
      </c>
      <c r="P222">
        <v>0</v>
      </c>
      <c r="Q222">
        <v>0.18</v>
      </c>
      <c r="R222">
        <v>24.75</v>
      </c>
      <c r="S222" s="1">
        <v>1662.0968</v>
      </c>
      <c r="T222" s="1">
        <v>9.3600000000000012</v>
      </c>
    </row>
    <row r="223" spans="1:20">
      <c r="A223" s="1" t="s">
        <v>35</v>
      </c>
      <c r="B223">
        <v>2021</v>
      </c>
      <c r="C223">
        <v>7.218</v>
      </c>
      <c r="D223">
        <v>3.8279999999999998</v>
      </c>
      <c r="E223">
        <v>7.8E-2</v>
      </c>
      <c r="F223">
        <v>2.2320000000000002</v>
      </c>
      <c r="G223">
        <v>4.2869999999999999</v>
      </c>
      <c r="H223" s="3">
        <v>50255494980</v>
      </c>
      <c r="I223">
        <v>36.700000000000003</v>
      </c>
      <c r="J223">
        <v>0.16444999999999999</v>
      </c>
      <c r="K223">
        <v>3.72</v>
      </c>
      <c r="L223">
        <v>2.13</v>
      </c>
      <c r="M223">
        <v>2.71</v>
      </c>
      <c r="N223">
        <v>0</v>
      </c>
      <c r="O223">
        <v>3.72</v>
      </c>
      <c r="P223">
        <v>0.01</v>
      </c>
      <c r="Q223">
        <v>0.14000000000000001</v>
      </c>
      <c r="R223">
        <v>53.55</v>
      </c>
      <c r="S223" s="1">
        <v>1698.6264000000001</v>
      </c>
      <c r="T223" s="1">
        <v>9.57</v>
      </c>
    </row>
    <row r="224" spans="1:20">
      <c r="A224" s="1" t="s">
        <v>35</v>
      </c>
      <c r="B224">
        <v>2022</v>
      </c>
      <c r="C224">
        <v>6.6079999999999997</v>
      </c>
      <c r="D224">
        <v>3.5129999999999999</v>
      </c>
      <c r="E224">
        <v>5.8000000000000003E-2</v>
      </c>
      <c r="F224">
        <v>1.593</v>
      </c>
      <c r="G224">
        <v>4.3310000000000004</v>
      </c>
      <c r="H224" s="3">
        <v>51248480035</v>
      </c>
      <c r="I224">
        <v>45.228999999999999</v>
      </c>
      <c r="J224">
        <v>0.23755000000000001</v>
      </c>
      <c r="K224">
        <v>3.82</v>
      </c>
      <c r="L224">
        <v>1.21</v>
      </c>
      <c r="M224">
        <v>2.75</v>
      </c>
      <c r="N224">
        <v>0</v>
      </c>
      <c r="O224">
        <v>3.82</v>
      </c>
      <c r="P224">
        <v>0.08</v>
      </c>
      <c r="Q224">
        <v>0.19</v>
      </c>
      <c r="R224">
        <v>80.87</v>
      </c>
      <c r="S224" s="1">
        <v>1744.2883999999999</v>
      </c>
      <c r="T224" s="1">
        <v>8.85</v>
      </c>
    </row>
    <row r="225" spans="1:20">
      <c r="A225" s="1" t="s">
        <v>35</v>
      </c>
      <c r="B225">
        <v>2023</v>
      </c>
      <c r="C225">
        <v>6.59</v>
      </c>
      <c r="D225">
        <v>3.5009999999999999</v>
      </c>
      <c r="E225">
        <v>0.06</v>
      </c>
      <c r="F225">
        <v>1.5369999999999999</v>
      </c>
      <c r="G225">
        <v>4.3860000000000001</v>
      </c>
      <c r="H225" s="3">
        <v>51248480035</v>
      </c>
      <c r="I225">
        <v>17.146000000000001</v>
      </c>
      <c r="J225">
        <v>0.29139999999999999</v>
      </c>
      <c r="K225">
        <v>4.96</v>
      </c>
      <c r="L225">
        <v>1.42</v>
      </c>
      <c r="M225">
        <v>3.79</v>
      </c>
      <c r="N225">
        <v>0</v>
      </c>
      <c r="O225">
        <v>4.96</v>
      </c>
      <c r="P225">
        <v>0.24</v>
      </c>
      <c r="Q225">
        <v>0.27</v>
      </c>
      <c r="R225">
        <v>85.3</v>
      </c>
      <c r="S225" s="1">
        <v>2264.8352</v>
      </c>
      <c r="T225" s="1">
        <v>11.34</v>
      </c>
    </row>
    <row r="226" spans="1:20">
      <c r="A226" s="1" t="s">
        <v>36</v>
      </c>
      <c r="B226">
        <v>2010</v>
      </c>
      <c r="C226">
        <v>13.802</v>
      </c>
      <c r="D226">
        <v>4.4550000000000001</v>
      </c>
      <c r="E226">
        <v>0.84299999999999997</v>
      </c>
      <c r="F226">
        <v>5.5529999999999999</v>
      </c>
      <c r="G226">
        <v>6.8129999999999997</v>
      </c>
      <c r="H226" s="3">
        <v>56073777524</v>
      </c>
      <c r="I226">
        <v>336</v>
      </c>
      <c r="J226">
        <v>0.1186</v>
      </c>
      <c r="K226">
        <v>0.91</v>
      </c>
      <c r="L226">
        <v>4.09</v>
      </c>
      <c r="M226">
        <v>0.54</v>
      </c>
      <c r="N226">
        <v>0</v>
      </c>
      <c r="O226">
        <v>0.91</v>
      </c>
      <c r="P226">
        <v>0</v>
      </c>
      <c r="Q226">
        <v>0.22</v>
      </c>
      <c r="R226">
        <v>14.38</v>
      </c>
      <c r="S226" s="1">
        <v>415.52420000000001</v>
      </c>
      <c r="T226" s="1">
        <v>5.91</v>
      </c>
    </row>
    <row r="227" spans="1:20">
      <c r="A227" s="1" t="s">
        <v>36</v>
      </c>
      <c r="B227">
        <v>2011</v>
      </c>
      <c r="C227">
        <v>13.96</v>
      </c>
      <c r="D227">
        <v>4.609</v>
      </c>
      <c r="E227">
        <v>0.97299999999999998</v>
      </c>
      <c r="F227">
        <v>5.86</v>
      </c>
      <c r="G227">
        <v>6.4880000000000004</v>
      </c>
      <c r="H227" s="3">
        <v>59460372771</v>
      </c>
      <c r="I227">
        <v>414</v>
      </c>
      <c r="J227">
        <v>0.12175</v>
      </c>
      <c r="K227">
        <v>1.1100000000000001</v>
      </c>
      <c r="L227">
        <v>3.14</v>
      </c>
      <c r="M227">
        <v>0.48</v>
      </c>
      <c r="N227">
        <v>0</v>
      </c>
      <c r="O227">
        <v>1.1100000000000001</v>
      </c>
      <c r="P227">
        <v>0</v>
      </c>
      <c r="Q227">
        <v>0.47</v>
      </c>
      <c r="R227">
        <v>13.07</v>
      </c>
      <c r="S227" s="1">
        <v>506.84820000000008</v>
      </c>
      <c r="T227" s="1">
        <v>5.36</v>
      </c>
    </row>
    <row r="228" spans="1:20">
      <c r="A228" s="1" t="s">
        <v>36</v>
      </c>
      <c r="B228">
        <v>2012</v>
      </c>
      <c r="C228">
        <v>14.054</v>
      </c>
      <c r="D228">
        <v>4.7030000000000003</v>
      </c>
      <c r="E228">
        <v>0.95</v>
      </c>
      <c r="F228">
        <v>5.673</v>
      </c>
      <c r="G228">
        <v>6.7270000000000003</v>
      </c>
      <c r="H228" s="3">
        <v>61745948022</v>
      </c>
      <c r="I228">
        <v>340</v>
      </c>
      <c r="J228">
        <v>0.12640000000000001</v>
      </c>
      <c r="K228">
        <v>1.18</v>
      </c>
      <c r="L228">
        <v>3.32</v>
      </c>
      <c r="M228">
        <v>0.42</v>
      </c>
      <c r="N228">
        <v>0</v>
      </c>
      <c r="O228">
        <v>1.18</v>
      </c>
      <c r="P228">
        <v>0</v>
      </c>
      <c r="Q228">
        <v>0.54</v>
      </c>
      <c r="R228">
        <v>7.33</v>
      </c>
      <c r="S228" s="1">
        <v>538.8116</v>
      </c>
      <c r="T228" s="1">
        <v>5.68</v>
      </c>
    </row>
    <row r="229" spans="1:20">
      <c r="A229" s="1" t="s">
        <v>36</v>
      </c>
      <c r="B229">
        <v>2013</v>
      </c>
      <c r="C229">
        <v>13.148</v>
      </c>
      <c r="D229">
        <v>4.444</v>
      </c>
      <c r="E229">
        <v>1.0920000000000001</v>
      </c>
      <c r="F229">
        <v>4.74</v>
      </c>
      <c r="G229">
        <v>6.5179999999999998</v>
      </c>
      <c r="H229" s="3">
        <v>63937849304</v>
      </c>
      <c r="I229">
        <v>440</v>
      </c>
      <c r="J229">
        <v>0.13805000000000001</v>
      </c>
      <c r="K229">
        <v>1.53</v>
      </c>
      <c r="L229">
        <v>2.66</v>
      </c>
      <c r="M229">
        <v>0.52</v>
      </c>
      <c r="N229">
        <v>0</v>
      </c>
      <c r="O229">
        <v>1.53</v>
      </c>
      <c r="P229">
        <v>0.05</v>
      </c>
      <c r="Q229">
        <v>0.6</v>
      </c>
      <c r="R229">
        <v>4.45</v>
      </c>
      <c r="S229" s="1">
        <v>698.62860000000001</v>
      </c>
      <c r="T229" s="1">
        <v>5.7200000000000006</v>
      </c>
    </row>
    <row r="230" spans="1:20">
      <c r="A230" s="1" t="s">
        <v>36</v>
      </c>
      <c r="B230">
        <v>2014</v>
      </c>
      <c r="C230">
        <v>12.846</v>
      </c>
      <c r="D230">
        <v>4.3789999999999996</v>
      </c>
      <c r="E230">
        <v>0.92300000000000004</v>
      </c>
      <c r="F230">
        <v>4.4139999999999997</v>
      </c>
      <c r="G230">
        <v>6.7670000000000003</v>
      </c>
      <c r="H230" s="3">
        <v>66199372603</v>
      </c>
      <c r="I230">
        <v>318</v>
      </c>
      <c r="J230">
        <v>0.13245000000000001</v>
      </c>
      <c r="K230">
        <v>1.51</v>
      </c>
      <c r="L230">
        <v>2.1800000000000002</v>
      </c>
      <c r="M230">
        <v>0.4</v>
      </c>
      <c r="N230">
        <v>0</v>
      </c>
      <c r="O230">
        <v>1.51</v>
      </c>
      <c r="P230">
        <v>7.0000000000000007E-2</v>
      </c>
      <c r="Q230">
        <v>0.64</v>
      </c>
      <c r="R230">
        <v>5.96</v>
      </c>
      <c r="S230" s="1">
        <v>689.49620000000004</v>
      </c>
      <c r="T230" s="1">
        <v>5.2</v>
      </c>
    </row>
    <row r="231" spans="1:20">
      <c r="A231" s="1" t="s">
        <v>36</v>
      </c>
      <c r="B231">
        <v>2015</v>
      </c>
      <c r="C231">
        <v>13.045</v>
      </c>
      <c r="D231">
        <v>4.4889999999999999</v>
      </c>
      <c r="E231">
        <v>0.73599999999999999</v>
      </c>
      <c r="F231">
        <v>4.42</v>
      </c>
      <c r="G231">
        <v>7.0810000000000004</v>
      </c>
      <c r="H231" s="3">
        <v>67539660018</v>
      </c>
      <c r="I231">
        <v>240</v>
      </c>
      <c r="J231">
        <v>0.12494999999999999</v>
      </c>
      <c r="K231">
        <v>1.68</v>
      </c>
      <c r="L231">
        <v>2.5499999999999998</v>
      </c>
      <c r="M231">
        <v>0.35</v>
      </c>
      <c r="N231">
        <v>0</v>
      </c>
      <c r="O231">
        <v>1.68</v>
      </c>
      <c r="P231">
        <v>7.0000000000000007E-2</v>
      </c>
      <c r="Q231">
        <v>0.81</v>
      </c>
      <c r="R231">
        <v>7.68</v>
      </c>
      <c r="S231" s="1">
        <v>767.12159999999994</v>
      </c>
      <c r="T231" s="1">
        <v>5.9099999999999993</v>
      </c>
    </row>
    <row r="232" spans="1:20">
      <c r="A232" s="1" t="s">
        <v>36</v>
      </c>
      <c r="B232">
        <v>2016</v>
      </c>
      <c r="C232">
        <v>13.102</v>
      </c>
      <c r="D232">
        <v>4.5659999999999998</v>
      </c>
      <c r="E232">
        <v>0.749</v>
      </c>
      <c r="F232">
        <v>3.9550000000000001</v>
      </c>
      <c r="G232">
        <v>7.6210000000000004</v>
      </c>
      <c r="H232" s="3">
        <v>69240911932</v>
      </c>
      <c r="I232">
        <v>241</v>
      </c>
      <c r="J232">
        <v>0.1201</v>
      </c>
      <c r="K232">
        <v>2.1</v>
      </c>
      <c r="L232">
        <v>1.53</v>
      </c>
      <c r="M232">
        <v>0.45</v>
      </c>
      <c r="N232">
        <v>0</v>
      </c>
      <c r="O232">
        <v>2.1</v>
      </c>
      <c r="P232">
        <v>7.0000000000000007E-2</v>
      </c>
      <c r="Q232">
        <v>1.1399999999999999</v>
      </c>
      <c r="R232">
        <v>5.35</v>
      </c>
      <c r="S232" s="1">
        <v>958.90200000000004</v>
      </c>
      <c r="T232" s="1">
        <v>5.73</v>
      </c>
    </row>
    <row r="233" spans="1:20">
      <c r="A233" s="1" t="s">
        <v>36</v>
      </c>
      <c r="B233">
        <v>2017</v>
      </c>
      <c r="C233">
        <v>13.276999999999999</v>
      </c>
      <c r="D233">
        <v>4.6929999999999996</v>
      </c>
      <c r="E233">
        <v>0.80100000000000005</v>
      </c>
      <c r="F233">
        <v>4.0289999999999999</v>
      </c>
      <c r="G233">
        <v>7.718</v>
      </c>
      <c r="H233" s="3">
        <v>72206131673</v>
      </c>
      <c r="I233">
        <v>290.8</v>
      </c>
      <c r="J233">
        <v>0.11115</v>
      </c>
      <c r="K233">
        <v>2.5299999999999998</v>
      </c>
      <c r="L233">
        <v>1.03</v>
      </c>
      <c r="M233">
        <v>0.6</v>
      </c>
      <c r="N233">
        <v>0</v>
      </c>
      <c r="O233">
        <v>2.5299999999999998</v>
      </c>
      <c r="P233">
        <v>7.0000000000000007E-2</v>
      </c>
      <c r="Q233">
        <v>1.36</v>
      </c>
      <c r="R233">
        <v>5.83</v>
      </c>
      <c r="S233" s="1">
        <v>1155.2485999999999</v>
      </c>
      <c r="T233" s="1">
        <v>6.09</v>
      </c>
    </row>
    <row r="234" spans="1:20">
      <c r="A234" s="1" t="s">
        <v>36</v>
      </c>
      <c r="B234">
        <v>2018</v>
      </c>
      <c r="C234">
        <v>13.414</v>
      </c>
      <c r="D234">
        <v>4.7869999999999999</v>
      </c>
      <c r="E234">
        <v>0.85899999999999999</v>
      </c>
      <c r="F234">
        <v>3.73</v>
      </c>
      <c r="G234">
        <v>8.02</v>
      </c>
      <c r="H234" s="3">
        <v>75089601435</v>
      </c>
      <c r="I234">
        <v>282.39999999999998</v>
      </c>
      <c r="J234">
        <v>0.10970000000000001</v>
      </c>
      <c r="K234">
        <v>2.2000000000000002</v>
      </c>
      <c r="L234">
        <v>0.72</v>
      </c>
      <c r="M234">
        <v>0.43</v>
      </c>
      <c r="N234">
        <v>0</v>
      </c>
      <c r="O234">
        <v>2.2000000000000002</v>
      </c>
      <c r="P234">
        <v>0.09</v>
      </c>
      <c r="Q234">
        <v>1.1399999999999999</v>
      </c>
      <c r="R234">
        <v>15.88</v>
      </c>
      <c r="S234" s="1">
        <v>1004.5640000000001</v>
      </c>
      <c r="T234" s="1">
        <v>5.12</v>
      </c>
    </row>
    <row r="235" spans="1:20">
      <c r="A235" s="1" t="s">
        <v>36</v>
      </c>
      <c r="B235">
        <v>2019</v>
      </c>
      <c r="C235">
        <v>13.647</v>
      </c>
      <c r="D235">
        <v>4.883</v>
      </c>
      <c r="E235">
        <v>0.80100000000000005</v>
      </c>
      <c r="F235">
        <v>3.8769999999999998</v>
      </c>
      <c r="G235">
        <v>8.1189999999999998</v>
      </c>
      <c r="H235" s="3">
        <v>78562641002</v>
      </c>
      <c r="I235">
        <v>302.3</v>
      </c>
      <c r="J235">
        <v>0.12545000000000001</v>
      </c>
      <c r="K235">
        <v>2.4700000000000002</v>
      </c>
      <c r="L235">
        <v>0.87</v>
      </c>
      <c r="M235">
        <v>0.35</v>
      </c>
      <c r="N235">
        <v>0</v>
      </c>
      <c r="O235">
        <v>2.4700000000000002</v>
      </c>
      <c r="P235">
        <v>0.09</v>
      </c>
      <c r="Q235">
        <v>1.5</v>
      </c>
      <c r="R235">
        <v>24.84</v>
      </c>
      <c r="S235" s="1">
        <v>1127.8514</v>
      </c>
      <c r="T235" s="1">
        <v>5.8100000000000005</v>
      </c>
    </row>
    <row r="236" spans="1:20">
      <c r="A236" s="1" t="s">
        <v>36</v>
      </c>
      <c r="B236">
        <v>2020</v>
      </c>
      <c r="C236">
        <v>13.5</v>
      </c>
      <c r="D236">
        <v>4.8289999999999997</v>
      </c>
      <c r="E236">
        <v>0.622</v>
      </c>
      <c r="F236">
        <v>4.1340000000000003</v>
      </c>
      <c r="G236">
        <v>7.9420000000000002</v>
      </c>
      <c r="H236" s="3">
        <v>78545278418</v>
      </c>
      <c r="I236">
        <v>194.1</v>
      </c>
      <c r="J236">
        <v>0.13735</v>
      </c>
      <c r="K236">
        <v>2.57</v>
      </c>
      <c r="L236">
        <v>2.13</v>
      </c>
      <c r="M236">
        <v>0.3</v>
      </c>
      <c r="N236">
        <v>0</v>
      </c>
      <c r="O236">
        <v>2.57</v>
      </c>
      <c r="P236">
        <v>0.13</v>
      </c>
      <c r="Q236">
        <v>1.55</v>
      </c>
      <c r="R236">
        <v>24.75</v>
      </c>
      <c r="S236" s="1">
        <v>1173.5134</v>
      </c>
      <c r="T236" s="1">
        <v>7.27</v>
      </c>
    </row>
    <row r="237" spans="1:20">
      <c r="A237" s="1" t="s">
        <v>36</v>
      </c>
      <c r="B237">
        <v>2021</v>
      </c>
      <c r="C237">
        <v>13.778</v>
      </c>
      <c r="D237">
        <v>4.93</v>
      </c>
      <c r="E237">
        <v>0.73899999999999999</v>
      </c>
      <c r="F237">
        <v>3.9609999999999999</v>
      </c>
      <c r="G237">
        <v>8.1449999999999996</v>
      </c>
      <c r="H237" s="3">
        <v>83242845981</v>
      </c>
      <c r="I237">
        <v>242.3</v>
      </c>
      <c r="J237">
        <v>0.14124999999999999</v>
      </c>
      <c r="K237">
        <v>2.62</v>
      </c>
      <c r="L237">
        <v>1.68</v>
      </c>
      <c r="M237">
        <v>0.38</v>
      </c>
      <c r="N237">
        <v>0</v>
      </c>
      <c r="O237">
        <v>2.62</v>
      </c>
      <c r="P237">
        <v>0.19</v>
      </c>
      <c r="Q237">
        <v>1.36</v>
      </c>
      <c r="R237">
        <v>53.55</v>
      </c>
      <c r="S237" s="1">
        <v>1196.3444</v>
      </c>
      <c r="T237" s="1">
        <v>6.92</v>
      </c>
    </row>
    <row r="238" spans="1:20">
      <c r="A238" s="1" t="s">
        <v>36</v>
      </c>
      <c r="B238">
        <v>2022</v>
      </c>
      <c r="C238">
        <v>12.895</v>
      </c>
      <c r="D238">
        <v>4.5780000000000003</v>
      </c>
      <c r="E238">
        <v>0.73399999999999999</v>
      </c>
      <c r="F238">
        <v>2.794</v>
      </c>
      <c r="G238">
        <v>8.375</v>
      </c>
      <c r="H238" s="3">
        <v>84814257826</v>
      </c>
      <c r="I238">
        <v>336.8</v>
      </c>
      <c r="J238">
        <v>0.1963</v>
      </c>
      <c r="K238">
        <v>3.02</v>
      </c>
      <c r="L238">
        <v>1.02</v>
      </c>
      <c r="M238">
        <v>0.46</v>
      </c>
      <c r="N238">
        <v>0</v>
      </c>
      <c r="O238">
        <v>3.02</v>
      </c>
      <c r="P238">
        <v>0.34</v>
      </c>
      <c r="Q238">
        <v>1.51</v>
      </c>
      <c r="R238">
        <v>80.87</v>
      </c>
      <c r="S238" s="1">
        <v>1378.9924000000001</v>
      </c>
      <c r="T238" s="1">
        <v>7.0600000000000005</v>
      </c>
    </row>
    <row r="239" spans="1:20">
      <c r="A239" s="1" t="s">
        <v>36</v>
      </c>
      <c r="B239">
        <v>2023</v>
      </c>
      <c r="C239">
        <v>12.507</v>
      </c>
      <c r="D239">
        <v>4.3819999999999997</v>
      </c>
      <c r="E239">
        <v>0.46500000000000002</v>
      </c>
      <c r="F239">
        <v>2.746</v>
      </c>
      <c r="G239">
        <v>8.5399999999999991</v>
      </c>
      <c r="H239" s="3">
        <v>84814257826</v>
      </c>
      <c r="I239">
        <v>148.9</v>
      </c>
      <c r="J239">
        <v>0.25214999999999999</v>
      </c>
      <c r="K239">
        <v>4.4400000000000004</v>
      </c>
      <c r="L239">
        <v>0.86</v>
      </c>
      <c r="M239">
        <v>0.45</v>
      </c>
      <c r="N239">
        <v>0</v>
      </c>
      <c r="O239">
        <v>4.4400000000000004</v>
      </c>
      <c r="P239">
        <v>0.69</v>
      </c>
      <c r="Q239">
        <v>2.54</v>
      </c>
      <c r="R239">
        <v>85.3</v>
      </c>
      <c r="S239" s="1">
        <v>2027.3928000000003</v>
      </c>
      <c r="T239" s="1">
        <v>9.740000000000002</v>
      </c>
    </row>
    <row r="240" spans="1:20">
      <c r="A240" s="1" t="s">
        <v>37</v>
      </c>
      <c r="B240">
        <v>2010</v>
      </c>
      <c r="C240">
        <v>11.191000000000001</v>
      </c>
      <c r="D240">
        <v>22.053999999999998</v>
      </c>
      <c r="E240">
        <v>0.32600000000000001</v>
      </c>
      <c r="F240">
        <v>2.8420000000000001</v>
      </c>
      <c r="G240">
        <v>7.5819999999999999</v>
      </c>
      <c r="H240" s="3">
        <v>27526699944</v>
      </c>
      <c r="I240">
        <v>113.336</v>
      </c>
      <c r="J240">
        <v>0.17365</v>
      </c>
      <c r="K240">
        <v>0.27</v>
      </c>
      <c r="L240">
        <v>2.97</v>
      </c>
      <c r="M240">
        <v>0.11</v>
      </c>
      <c r="N240">
        <v>0</v>
      </c>
      <c r="O240">
        <v>0.27</v>
      </c>
      <c r="P240">
        <v>0.02</v>
      </c>
      <c r="Q240">
        <v>0.06</v>
      </c>
      <c r="R240">
        <v>14.38</v>
      </c>
      <c r="S240" s="1">
        <v>123.28740000000001</v>
      </c>
      <c r="T240" s="1">
        <v>3.5100000000000002</v>
      </c>
    </row>
    <row r="241" spans="1:20">
      <c r="A241" s="1" t="s">
        <v>37</v>
      </c>
      <c r="B241">
        <v>2011</v>
      </c>
      <c r="C241">
        <v>11.09</v>
      </c>
      <c r="D241">
        <v>21.384</v>
      </c>
      <c r="E241">
        <v>0.315</v>
      </c>
      <c r="F241">
        <v>2.464</v>
      </c>
      <c r="G241">
        <v>7.8520000000000003</v>
      </c>
      <c r="H241" s="3">
        <v>28143126706</v>
      </c>
      <c r="I241">
        <v>99.194999999999993</v>
      </c>
      <c r="J241">
        <v>0.16699999999999998</v>
      </c>
      <c r="K241">
        <v>0.24</v>
      </c>
      <c r="L241">
        <v>2.4</v>
      </c>
      <c r="M241">
        <v>0.06</v>
      </c>
      <c r="N241">
        <v>0</v>
      </c>
      <c r="O241">
        <v>0.24</v>
      </c>
      <c r="P241">
        <v>0.03</v>
      </c>
      <c r="Q241">
        <v>0.06</v>
      </c>
      <c r="R241">
        <v>13.07</v>
      </c>
      <c r="S241" s="1">
        <v>109.58879999999999</v>
      </c>
      <c r="T241" s="1">
        <v>2.88</v>
      </c>
    </row>
    <row r="242" spans="1:20">
      <c r="A242" s="1" t="s">
        <v>37</v>
      </c>
      <c r="B242">
        <v>2012</v>
      </c>
      <c r="C242">
        <v>10.858000000000001</v>
      </c>
      <c r="D242">
        <v>20.45</v>
      </c>
      <c r="E242">
        <v>0.28599999999999998</v>
      </c>
      <c r="F242">
        <v>2.5</v>
      </c>
      <c r="G242">
        <v>7.6239999999999997</v>
      </c>
      <c r="H242" s="3">
        <v>28607408843</v>
      </c>
      <c r="I242">
        <v>91.738</v>
      </c>
      <c r="J242">
        <v>0.1701</v>
      </c>
      <c r="K242">
        <v>0.31</v>
      </c>
      <c r="L242">
        <v>2.4500000000000002</v>
      </c>
      <c r="M242">
        <v>0.1</v>
      </c>
      <c r="N242">
        <v>0</v>
      </c>
      <c r="O242">
        <v>0.31</v>
      </c>
      <c r="P242">
        <v>0.04</v>
      </c>
      <c r="Q242">
        <v>0.08</v>
      </c>
      <c r="R242">
        <v>7.33</v>
      </c>
      <c r="S242" s="1">
        <v>141.5522</v>
      </c>
      <c r="T242" s="1">
        <v>3.0700000000000003</v>
      </c>
    </row>
    <row r="243" spans="1:20">
      <c r="A243" s="1" t="s">
        <v>37</v>
      </c>
      <c r="B243">
        <v>2013</v>
      </c>
      <c r="C243">
        <v>10.323</v>
      </c>
      <c r="D243">
        <v>18.998999999999999</v>
      </c>
      <c r="E243">
        <v>0.27600000000000002</v>
      </c>
      <c r="F243">
        <v>2.1150000000000002</v>
      </c>
      <c r="G243">
        <v>7.5069999999999997</v>
      </c>
      <c r="H243" s="3">
        <v>29514812514</v>
      </c>
      <c r="I243">
        <v>84.570999999999998</v>
      </c>
      <c r="J243">
        <v>0.16555</v>
      </c>
      <c r="K243">
        <v>0.36</v>
      </c>
      <c r="L243">
        <v>1.48</v>
      </c>
      <c r="M243">
        <v>0.12</v>
      </c>
      <c r="N243">
        <v>0</v>
      </c>
      <c r="O243">
        <v>0.36</v>
      </c>
      <c r="P243">
        <v>7.0000000000000007E-2</v>
      </c>
      <c r="Q243">
        <v>0.08</v>
      </c>
      <c r="R243">
        <v>4.45</v>
      </c>
      <c r="S243" s="1">
        <v>164.38319999999999</v>
      </c>
      <c r="T243" s="1">
        <v>2.1999999999999997</v>
      </c>
    </row>
    <row r="244" spans="1:20">
      <c r="A244" s="1" t="s">
        <v>37</v>
      </c>
      <c r="B244">
        <v>2014</v>
      </c>
      <c r="C244">
        <v>9.8070000000000004</v>
      </c>
      <c r="D244">
        <v>17.629000000000001</v>
      </c>
      <c r="E244">
        <v>0.27700000000000002</v>
      </c>
      <c r="F244">
        <v>2.0059999999999998</v>
      </c>
      <c r="G244">
        <v>7.0910000000000002</v>
      </c>
      <c r="H244" s="3">
        <v>30289014849</v>
      </c>
      <c r="I244">
        <v>94.9</v>
      </c>
      <c r="J244">
        <v>0.17380000000000001</v>
      </c>
      <c r="K244">
        <v>0.4</v>
      </c>
      <c r="L244">
        <v>1.51</v>
      </c>
      <c r="M244">
        <v>0.11</v>
      </c>
      <c r="N244">
        <v>0</v>
      </c>
      <c r="O244">
        <v>0.4</v>
      </c>
      <c r="P244">
        <v>0.09</v>
      </c>
      <c r="Q244">
        <v>0.08</v>
      </c>
      <c r="R244">
        <v>5.96</v>
      </c>
      <c r="S244" s="1">
        <v>182.64800000000002</v>
      </c>
      <c r="T244" s="1">
        <v>2.31</v>
      </c>
    </row>
    <row r="245" spans="1:20">
      <c r="A245" s="1" t="s">
        <v>37</v>
      </c>
      <c r="B245">
        <v>2015</v>
      </c>
      <c r="C245">
        <v>9.3339999999999996</v>
      </c>
      <c r="D245">
        <v>16.388999999999999</v>
      </c>
      <c r="E245">
        <v>0.28799999999999998</v>
      </c>
      <c r="F245">
        <v>1.83</v>
      </c>
      <c r="G245">
        <v>6.8120000000000003</v>
      </c>
      <c r="H245" s="3">
        <v>30976491415</v>
      </c>
      <c r="I245">
        <v>83.86</v>
      </c>
      <c r="J245">
        <v>0.1767</v>
      </c>
      <c r="K245">
        <v>0.43</v>
      </c>
      <c r="L245">
        <v>0.91</v>
      </c>
      <c r="M245">
        <v>0.1</v>
      </c>
      <c r="N245">
        <v>0</v>
      </c>
      <c r="O245">
        <v>0.43</v>
      </c>
      <c r="P245">
        <v>0.1</v>
      </c>
      <c r="Q245">
        <v>0.1</v>
      </c>
      <c r="R245">
        <v>7.68</v>
      </c>
      <c r="S245" s="1">
        <v>196.3466</v>
      </c>
      <c r="T245" s="1">
        <v>1.77</v>
      </c>
    </row>
    <row r="246" spans="1:20">
      <c r="A246" s="1" t="s">
        <v>37</v>
      </c>
      <c r="B246">
        <v>2016</v>
      </c>
      <c r="C246">
        <v>9.077</v>
      </c>
      <c r="D246">
        <v>15.555999999999999</v>
      </c>
      <c r="E246">
        <v>0.29399999999999998</v>
      </c>
      <c r="F246">
        <v>1.6819999999999999</v>
      </c>
      <c r="G246">
        <v>6.6749999999999998</v>
      </c>
      <c r="H246" s="3">
        <v>32518554202</v>
      </c>
      <c r="I246">
        <v>93.135999999999996</v>
      </c>
      <c r="J246">
        <v>0.16980000000000001</v>
      </c>
      <c r="K246">
        <v>0.46</v>
      </c>
      <c r="L246">
        <v>0.33</v>
      </c>
      <c r="M246">
        <v>0.12</v>
      </c>
      <c r="N246">
        <v>0</v>
      </c>
      <c r="O246">
        <v>0.46</v>
      </c>
      <c r="P246">
        <v>0.1</v>
      </c>
      <c r="Q246">
        <v>0.1</v>
      </c>
      <c r="R246">
        <v>5.35</v>
      </c>
      <c r="S246" s="1">
        <v>210.04520000000002</v>
      </c>
      <c r="T246" s="1">
        <v>1.25</v>
      </c>
    </row>
    <row r="247" spans="1:20">
      <c r="A247" s="1" t="s">
        <v>37</v>
      </c>
      <c r="B247">
        <v>2017</v>
      </c>
      <c r="C247">
        <v>9.2509999999999994</v>
      </c>
      <c r="D247">
        <v>15.509</v>
      </c>
      <c r="E247">
        <v>0.28299999999999997</v>
      </c>
      <c r="F247">
        <v>1.657</v>
      </c>
      <c r="G247">
        <v>6.8659999999999997</v>
      </c>
      <c r="H247" s="3">
        <v>32946911821</v>
      </c>
      <c r="I247">
        <v>78.03</v>
      </c>
      <c r="J247">
        <v>0.16165000000000002</v>
      </c>
      <c r="K247">
        <v>0.6</v>
      </c>
      <c r="L247">
        <v>0.3</v>
      </c>
      <c r="M247">
        <v>0.09</v>
      </c>
      <c r="N247">
        <v>0</v>
      </c>
      <c r="O247">
        <v>0.6</v>
      </c>
      <c r="P247">
        <v>0.11</v>
      </c>
      <c r="Q247">
        <v>0.23</v>
      </c>
      <c r="R247">
        <v>5.83</v>
      </c>
      <c r="S247" s="1">
        <v>273.97199999999998</v>
      </c>
      <c r="T247" s="1">
        <v>1.5</v>
      </c>
    </row>
    <row r="248" spans="1:20">
      <c r="A248" s="1" t="s">
        <v>37</v>
      </c>
      <c r="B248">
        <v>2018</v>
      </c>
      <c r="C248">
        <v>9.5559999999999992</v>
      </c>
      <c r="D248">
        <v>15.715</v>
      </c>
      <c r="E248">
        <v>0.26700000000000002</v>
      </c>
      <c r="F248">
        <v>1.609</v>
      </c>
      <c r="G248">
        <v>7.2359999999999998</v>
      </c>
      <c r="H248" s="3">
        <v>33348602359</v>
      </c>
      <c r="I248">
        <v>72.536000000000001</v>
      </c>
      <c r="J248">
        <v>0.1681</v>
      </c>
      <c r="K248">
        <v>0.68</v>
      </c>
      <c r="L248">
        <v>0.28000000000000003</v>
      </c>
      <c r="M248">
        <v>0.09</v>
      </c>
      <c r="N248">
        <v>0</v>
      </c>
      <c r="O248">
        <v>0.68</v>
      </c>
      <c r="P248">
        <v>0.12</v>
      </c>
      <c r="Q248">
        <v>0.25</v>
      </c>
      <c r="R248">
        <v>15.88</v>
      </c>
      <c r="S248" s="1">
        <v>310.50160000000005</v>
      </c>
      <c r="T248" s="1">
        <v>1.6400000000000001</v>
      </c>
    </row>
    <row r="249" spans="1:20">
      <c r="A249" s="1" t="s">
        <v>37</v>
      </c>
      <c r="B249">
        <v>2019</v>
      </c>
      <c r="C249">
        <v>9.75</v>
      </c>
      <c r="D249">
        <v>15.722</v>
      </c>
      <c r="E249">
        <v>0.27400000000000002</v>
      </c>
      <c r="F249">
        <v>1.6080000000000001</v>
      </c>
      <c r="G249">
        <v>7.3970000000000002</v>
      </c>
      <c r="H249" s="3">
        <v>34122291521</v>
      </c>
      <c r="I249">
        <v>73.364999999999995</v>
      </c>
      <c r="J249">
        <v>0.17985000000000001</v>
      </c>
      <c r="K249">
        <v>0.8</v>
      </c>
      <c r="L249">
        <v>0.27</v>
      </c>
      <c r="M249">
        <v>0.11</v>
      </c>
      <c r="N249">
        <v>0</v>
      </c>
      <c r="O249">
        <v>0.8</v>
      </c>
      <c r="P249">
        <v>0.13</v>
      </c>
      <c r="Q249">
        <v>0.28000000000000003</v>
      </c>
      <c r="R249">
        <v>24.84</v>
      </c>
      <c r="S249" s="1">
        <v>365.29600000000005</v>
      </c>
      <c r="T249" s="1">
        <v>1.87</v>
      </c>
    </row>
    <row r="250" spans="1:20">
      <c r="A250" s="1" t="s">
        <v>37</v>
      </c>
      <c r="B250">
        <v>2020</v>
      </c>
      <c r="C250">
        <v>8.0690000000000008</v>
      </c>
      <c r="D250">
        <v>12.795999999999999</v>
      </c>
      <c r="E250">
        <v>0.23599999999999999</v>
      </c>
      <c r="F250">
        <v>1.4690000000000001</v>
      </c>
      <c r="G250">
        <v>5.9020000000000001</v>
      </c>
      <c r="H250" s="3">
        <v>33850190319</v>
      </c>
      <c r="I250">
        <v>73.302999999999997</v>
      </c>
      <c r="J250">
        <v>0.19855</v>
      </c>
      <c r="K250">
        <v>0.97</v>
      </c>
      <c r="L250">
        <v>0.25</v>
      </c>
      <c r="M250">
        <v>0.09</v>
      </c>
      <c r="N250">
        <v>0</v>
      </c>
      <c r="O250">
        <v>0.97</v>
      </c>
      <c r="P250">
        <v>0.16</v>
      </c>
      <c r="Q250">
        <v>0.35</v>
      </c>
      <c r="R250">
        <v>24.75</v>
      </c>
      <c r="S250" s="1">
        <v>442.92140000000001</v>
      </c>
      <c r="T250" s="1">
        <v>2.19</v>
      </c>
    </row>
    <row r="251" spans="1:20">
      <c r="A251" s="1" t="s">
        <v>37</v>
      </c>
      <c r="B251">
        <v>2021</v>
      </c>
      <c r="C251">
        <v>8.41</v>
      </c>
      <c r="D251">
        <v>13.134</v>
      </c>
      <c r="E251">
        <v>0.24199999999999999</v>
      </c>
      <c r="F251">
        <v>1.589</v>
      </c>
      <c r="G251">
        <v>6.1859999999999999</v>
      </c>
      <c r="H251" s="3">
        <v>35577396523</v>
      </c>
      <c r="I251">
        <v>59.954999999999998</v>
      </c>
      <c r="J251">
        <v>0.19885</v>
      </c>
      <c r="K251">
        <v>0.99</v>
      </c>
      <c r="L251">
        <v>0.24</v>
      </c>
      <c r="M251">
        <v>0.11</v>
      </c>
      <c r="N251">
        <v>0</v>
      </c>
      <c r="O251">
        <v>0.99</v>
      </c>
      <c r="P251">
        <v>0.18</v>
      </c>
      <c r="Q251">
        <v>0.31</v>
      </c>
      <c r="R251">
        <v>53.55</v>
      </c>
      <c r="S251" s="1">
        <v>452.05380000000002</v>
      </c>
      <c r="T251" s="1">
        <v>2.2199999999999998</v>
      </c>
    </row>
    <row r="252" spans="1:20">
      <c r="A252" s="1" t="s">
        <v>37</v>
      </c>
      <c r="B252">
        <v>2022</v>
      </c>
      <c r="C252">
        <v>7.274</v>
      </c>
      <c r="D252">
        <v>11.135</v>
      </c>
      <c r="E252">
        <v>0.23899999999999999</v>
      </c>
      <c r="F252">
        <v>1.2490000000000001</v>
      </c>
      <c r="G252">
        <v>5.4059999999999997</v>
      </c>
      <c r="H252" s="3">
        <v>36128358732</v>
      </c>
      <c r="I252">
        <v>68.980999999999995</v>
      </c>
      <c r="J252">
        <v>0.20294999999999999</v>
      </c>
      <c r="K252">
        <v>1.04</v>
      </c>
      <c r="L252">
        <v>0.17</v>
      </c>
      <c r="M252">
        <v>0.06</v>
      </c>
      <c r="N252">
        <v>0</v>
      </c>
      <c r="O252">
        <v>1.04</v>
      </c>
      <c r="P252">
        <v>0.28000000000000003</v>
      </c>
      <c r="Q252">
        <v>0.31</v>
      </c>
      <c r="R252">
        <v>80.87</v>
      </c>
      <c r="S252" s="1">
        <v>474.88480000000004</v>
      </c>
      <c r="T252" s="1">
        <v>2.25</v>
      </c>
    </row>
    <row r="253" spans="1:20">
      <c r="A253" s="1" t="s">
        <v>37</v>
      </c>
      <c r="B253">
        <v>2023</v>
      </c>
      <c r="C253">
        <v>6.8410000000000002</v>
      </c>
      <c r="D253">
        <v>10.285</v>
      </c>
      <c r="E253">
        <v>0.17499999999999999</v>
      </c>
      <c r="F253">
        <v>1.169</v>
      </c>
      <c r="G253">
        <v>5.2439999999999998</v>
      </c>
      <c r="H253" s="3">
        <v>36128358732</v>
      </c>
      <c r="I253">
        <v>39.029000000000003</v>
      </c>
      <c r="J253">
        <v>0.20115</v>
      </c>
      <c r="K253">
        <v>1.26</v>
      </c>
      <c r="L253">
        <v>0.15</v>
      </c>
      <c r="M253">
        <v>0.09</v>
      </c>
      <c r="N253">
        <v>0</v>
      </c>
      <c r="O253">
        <v>1.26</v>
      </c>
      <c r="P253">
        <v>0.28999999999999998</v>
      </c>
      <c r="Q253">
        <v>0.5</v>
      </c>
      <c r="R253">
        <v>85.3</v>
      </c>
      <c r="S253" s="1">
        <v>575.34119999999996</v>
      </c>
      <c r="T253" s="1">
        <v>2.67</v>
      </c>
    </row>
    <row r="254" spans="1:20">
      <c r="A254" s="1" t="s">
        <v>38</v>
      </c>
      <c r="B254">
        <v>2010</v>
      </c>
      <c r="C254">
        <v>2.6190000000000002</v>
      </c>
      <c r="D254">
        <v>6.1970000000000001</v>
      </c>
      <c r="E254">
        <v>0</v>
      </c>
      <c r="F254">
        <v>0</v>
      </c>
      <c r="G254">
        <v>2.6179999999999999</v>
      </c>
      <c r="H254" s="3">
        <v>9788869399</v>
      </c>
      <c r="I254">
        <v>0</v>
      </c>
      <c r="J254">
        <v>0.16500000000000001</v>
      </c>
      <c r="K254">
        <v>0</v>
      </c>
      <c r="L254">
        <v>2.11</v>
      </c>
      <c r="M254">
        <v>0</v>
      </c>
      <c r="N254">
        <v>0</v>
      </c>
      <c r="O254">
        <v>0</v>
      </c>
      <c r="P254">
        <v>0</v>
      </c>
      <c r="R254">
        <v>14.38</v>
      </c>
      <c r="S254" s="1">
        <v>0</v>
      </c>
      <c r="T254" s="1">
        <v>2.11</v>
      </c>
    </row>
    <row r="255" spans="1:20">
      <c r="A255" s="1" t="s">
        <v>38</v>
      </c>
      <c r="B255">
        <v>2011</v>
      </c>
      <c r="C255">
        <v>2.6080000000000001</v>
      </c>
      <c r="D255">
        <v>6.1420000000000003</v>
      </c>
      <c r="E255">
        <v>0</v>
      </c>
      <c r="F255">
        <v>0</v>
      </c>
      <c r="G255">
        <v>2.6070000000000002</v>
      </c>
      <c r="H255" s="3">
        <v>9930574943</v>
      </c>
      <c r="I255">
        <v>0</v>
      </c>
      <c r="J255">
        <v>0.16585</v>
      </c>
      <c r="K255">
        <v>0</v>
      </c>
      <c r="L255">
        <v>2.17</v>
      </c>
      <c r="M255">
        <v>0</v>
      </c>
      <c r="N255">
        <v>0</v>
      </c>
      <c r="O255">
        <v>0</v>
      </c>
      <c r="P255">
        <v>0</v>
      </c>
      <c r="R255">
        <v>13.07</v>
      </c>
      <c r="S255" s="1">
        <v>0</v>
      </c>
      <c r="T255" s="1">
        <v>2.17</v>
      </c>
    </row>
    <row r="256" spans="1:20">
      <c r="A256" s="1" t="s">
        <v>38</v>
      </c>
      <c r="B256">
        <v>2012</v>
      </c>
      <c r="C256">
        <v>2.7490000000000001</v>
      </c>
      <c r="D256">
        <v>6.444</v>
      </c>
      <c r="E256">
        <v>0</v>
      </c>
      <c r="F256">
        <v>0</v>
      </c>
      <c r="G256">
        <v>2.7480000000000002</v>
      </c>
      <c r="H256" s="3">
        <v>10339580228</v>
      </c>
      <c r="I256">
        <v>0</v>
      </c>
      <c r="J256">
        <v>0.16755</v>
      </c>
      <c r="K256">
        <v>0.03</v>
      </c>
      <c r="L256">
        <v>2.27</v>
      </c>
      <c r="M256">
        <v>0</v>
      </c>
      <c r="N256">
        <v>0</v>
      </c>
      <c r="O256">
        <v>0.03</v>
      </c>
      <c r="P256">
        <v>0.02</v>
      </c>
      <c r="Q256">
        <v>0</v>
      </c>
      <c r="R256">
        <v>7.33</v>
      </c>
      <c r="S256" s="1">
        <v>13.698599999999999</v>
      </c>
      <c r="T256" s="1">
        <v>2.3299999999999996</v>
      </c>
    </row>
    <row r="257" spans="1:20">
      <c r="A257" s="1" t="s">
        <v>38</v>
      </c>
      <c r="B257">
        <v>2013</v>
      </c>
      <c r="C257">
        <v>2.4300000000000002</v>
      </c>
      <c r="D257">
        <v>5.6710000000000003</v>
      </c>
      <c r="E257">
        <v>0</v>
      </c>
      <c r="F257">
        <v>0</v>
      </c>
      <c r="G257">
        <v>2.427</v>
      </c>
      <c r="H257" s="3">
        <v>10905471410</v>
      </c>
      <c r="I257">
        <v>0</v>
      </c>
      <c r="J257">
        <v>0.16764999999999999</v>
      </c>
      <c r="K257">
        <v>0.04</v>
      </c>
      <c r="L257">
        <v>2.2200000000000002</v>
      </c>
      <c r="M257">
        <v>0</v>
      </c>
      <c r="N257">
        <v>0</v>
      </c>
      <c r="O257">
        <v>0.04</v>
      </c>
      <c r="P257">
        <v>0.03</v>
      </c>
      <c r="Q257">
        <v>0</v>
      </c>
      <c r="R257">
        <v>4.45</v>
      </c>
      <c r="S257" s="1">
        <v>18.264800000000001</v>
      </c>
      <c r="T257" s="1">
        <v>2.3000000000000003</v>
      </c>
    </row>
    <row r="258" spans="1:20">
      <c r="A258" s="1" t="s">
        <v>38</v>
      </c>
      <c r="B258">
        <v>2014</v>
      </c>
      <c r="C258">
        <v>2.4169999999999998</v>
      </c>
      <c r="D258">
        <v>5.5640000000000001</v>
      </c>
      <c r="E258">
        <v>0</v>
      </c>
      <c r="F258">
        <v>0</v>
      </c>
      <c r="G258">
        <v>2.4140000000000001</v>
      </c>
      <c r="H258" s="3">
        <v>11737898948</v>
      </c>
      <c r="I258">
        <v>0</v>
      </c>
      <c r="J258">
        <v>0.1361</v>
      </c>
      <c r="K258">
        <v>0.08</v>
      </c>
      <c r="L258">
        <v>2.17</v>
      </c>
      <c r="M258">
        <v>0</v>
      </c>
      <c r="N258">
        <v>0</v>
      </c>
      <c r="O258">
        <v>0.08</v>
      </c>
      <c r="P258">
        <v>7.0000000000000007E-2</v>
      </c>
      <c r="Q258">
        <v>0</v>
      </c>
      <c r="R258">
        <v>5.96</v>
      </c>
      <c r="S258" s="1">
        <v>36.529600000000002</v>
      </c>
      <c r="T258" s="1">
        <v>2.33</v>
      </c>
    </row>
    <row r="259" spans="1:20">
      <c r="A259" s="1" t="s">
        <v>38</v>
      </c>
      <c r="B259">
        <v>2015</v>
      </c>
      <c r="C259">
        <v>1.6970000000000001</v>
      </c>
      <c r="D259">
        <v>3.8149999999999999</v>
      </c>
      <c r="E259">
        <v>0</v>
      </c>
      <c r="F259">
        <v>0</v>
      </c>
      <c r="G259">
        <v>1.6950000000000001</v>
      </c>
      <c r="H259" s="3">
        <v>12865695938</v>
      </c>
      <c r="I259">
        <v>0</v>
      </c>
      <c r="J259">
        <v>0.12630000000000002</v>
      </c>
      <c r="K259">
        <v>0.1</v>
      </c>
      <c r="L259">
        <v>1.2</v>
      </c>
      <c r="M259">
        <v>0</v>
      </c>
      <c r="N259">
        <v>0</v>
      </c>
      <c r="O259">
        <v>0.1</v>
      </c>
      <c r="P259">
        <v>0.09</v>
      </c>
      <c r="Q259">
        <v>0</v>
      </c>
      <c r="R259">
        <v>7.68</v>
      </c>
      <c r="S259" s="1">
        <v>45.662000000000006</v>
      </c>
      <c r="T259" s="1">
        <v>1.4000000000000001</v>
      </c>
    </row>
    <row r="260" spans="1:20">
      <c r="A260" s="1" t="s">
        <v>38</v>
      </c>
      <c r="B260">
        <v>2016</v>
      </c>
      <c r="C260">
        <v>1.3759999999999999</v>
      </c>
      <c r="D260">
        <v>3.0219999999999998</v>
      </c>
      <c r="E260">
        <v>0</v>
      </c>
      <c r="F260">
        <v>0</v>
      </c>
      <c r="G260">
        <v>1.3740000000000001</v>
      </c>
      <c r="H260" s="3">
        <v>13300698899</v>
      </c>
      <c r="I260">
        <v>0</v>
      </c>
      <c r="J260">
        <v>0.12655</v>
      </c>
      <c r="K260">
        <v>0.14000000000000001</v>
      </c>
      <c r="L260">
        <v>0.72</v>
      </c>
      <c r="M260">
        <v>0</v>
      </c>
      <c r="N260">
        <v>0</v>
      </c>
      <c r="O260">
        <v>0.14000000000000001</v>
      </c>
      <c r="P260">
        <v>0.13</v>
      </c>
      <c r="Q260">
        <v>0</v>
      </c>
      <c r="R260">
        <v>5.35</v>
      </c>
      <c r="S260" s="1">
        <v>63.926800000000007</v>
      </c>
      <c r="T260" s="1">
        <v>1</v>
      </c>
    </row>
    <row r="261" spans="1:20">
      <c r="A261" s="1" t="s">
        <v>38</v>
      </c>
      <c r="B261">
        <v>2017</v>
      </c>
      <c r="C261">
        <v>1.5369999999999999</v>
      </c>
      <c r="D261">
        <v>3.2850000000000001</v>
      </c>
      <c r="E261">
        <v>0</v>
      </c>
      <c r="F261">
        <v>0.55200000000000005</v>
      </c>
      <c r="G261">
        <v>0.98399999999999999</v>
      </c>
      <c r="H261" s="3">
        <v>14746505042</v>
      </c>
      <c r="I261">
        <v>0</v>
      </c>
      <c r="J261">
        <v>0.1313</v>
      </c>
      <c r="K261">
        <v>0.17</v>
      </c>
      <c r="L261">
        <v>1.48</v>
      </c>
      <c r="M261">
        <v>0</v>
      </c>
      <c r="N261">
        <v>0</v>
      </c>
      <c r="O261">
        <v>0.17</v>
      </c>
      <c r="P261">
        <v>0.16</v>
      </c>
      <c r="Q261">
        <v>0</v>
      </c>
      <c r="R261">
        <v>5.83</v>
      </c>
      <c r="S261" s="1">
        <v>77.625400000000013</v>
      </c>
      <c r="T261" s="1">
        <v>1.8199999999999998</v>
      </c>
    </row>
    <row r="262" spans="1:20">
      <c r="A262" s="1" t="s">
        <v>38</v>
      </c>
      <c r="B262">
        <v>2018</v>
      </c>
      <c r="C262">
        <v>1.548</v>
      </c>
      <c r="D262">
        <v>3.194</v>
      </c>
      <c r="E262">
        <v>0</v>
      </c>
      <c r="F262">
        <v>0.68100000000000005</v>
      </c>
      <c r="G262">
        <v>0.86599999999999999</v>
      </c>
      <c r="H262" s="3">
        <v>15659758064</v>
      </c>
      <c r="I262">
        <v>0</v>
      </c>
      <c r="J262">
        <v>0.12959999999999999</v>
      </c>
      <c r="K262">
        <v>0.2</v>
      </c>
      <c r="L262">
        <v>1.77</v>
      </c>
      <c r="M262">
        <v>0</v>
      </c>
      <c r="N262">
        <v>0</v>
      </c>
      <c r="O262">
        <v>0.2</v>
      </c>
      <c r="P262">
        <v>0.19</v>
      </c>
      <c r="Q262">
        <v>0</v>
      </c>
      <c r="R262">
        <v>15.88</v>
      </c>
      <c r="S262" s="1">
        <v>91.324000000000012</v>
      </c>
      <c r="T262" s="1">
        <v>2.17</v>
      </c>
    </row>
    <row r="263" spans="1:20">
      <c r="A263" s="1" t="s">
        <v>38</v>
      </c>
      <c r="B263">
        <v>2019</v>
      </c>
      <c r="C263">
        <v>1.649</v>
      </c>
      <c r="D263">
        <v>3.2719999999999998</v>
      </c>
      <c r="E263">
        <v>0</v>
      </c>
      <c r="F263">
        <v>0.70799999999999996</v>
      </c>
      <c r="G263">
        <v>0.94</v>
      </c>
      <c r="H263" s="3">
        <v>16757308198</v>
      </c>
      <c r="I263">
        <v>0</v>
      </c>
      <c r="J263">
        <v>0.12969999999999998</v>
      </c>
      <c r="K263">
        <v>0.21</v>
      </c>
      <c r="L263">
        <v>1.86</v>
      </c>
      <c r="M263">
        <v>0</v>
      </c>
      <c r="N263">
        <v>0</v>
      </c>
      <c r="O263">
        <v>0.21</v>
      </c>
      <c r="P263">
        <v>0.2</v>
      </c>
      <c r="Q263">
        <v>0</v>
      </c>
      <c r="R263">
        <v>24.84</v>
      </c>
      <c r="S263" s="1">
        <v>95.890199999999993</v>
      </c>
      <c r="T263" s="1">
        <v>2.2800000000000002</v>
      </c>
    </row>
    <row r="264" spans="1:20">
      <c r="A264" s="1" t="s">
        <v>38</v>
      </c>
      <c r="B264">
        <v>2020</v>
      </c>
      <c r="C264">
        <v>1.601</v>
      </c>
      <c r="D264">
        <v>3.089</v>
      </c>
      <c r="E264">
        <v>0</v>
      </c>
      <c r="F264">
        <v>0.73599999999999999</v>
      </c>
      <c r="G264">
        <v>0.86399999999999999</v>
      </c>
      <c r="H264" s="3">
        <v>15314071319</v>
      </c>
      <c r="I264">
        <v>0</v>
      </c>
      <c r="J264">
        <v>0.12924999999999998</v>
      </c>
      <c r="K264">
        <v>0.25</v>
      </c>
      <c r="L264">
        <v>1.9</v>
      </c>
      <c r="M264">
        <v>0</v>
      </c>
      <c r="N264">
        <v>0</v>
      </c>
      <c r="O264">
        <v>0.25</v>
      </c>
      <c r="P264">
        <v>0.24</v>
      </c>
      <c r="Q264">
        <v>0</v>
      </c>
      <c r="R264">
        <v>24.75</v>
      </c>
      <c r="S264" s="1">
        <v>114.155</v>
      </c>
      <c r="T264" s="1">
        <v>2.4</v>
      </c>
    </row>
    <row r="265" spans="1:20">
      <c r="A265" s="1" t="s">
        <v>38</v>
      </c>
      <c r="B265">
        <v>2021</v>
      </c>
      <c r="C265">
        <v>1.611</v>
      </c>
      <c r="D265">
        <v>3.073</v>
      </c>
      <c r="E265">
        <v>0</v>
      </c>
      <c r="F265">
        <v>0.73899999999999999</v>
      </c>
      <c r="G265">
        <v>0.872</v>
      </c>
      <c r="H265" s="3">
        <v>17122043843</v>
      </c>
      <c r="I265">
        <v>0</v>
      </c>
      <c r="J265">
        <v>0.13014999999999999</v>
      </c>
      <c r="K265">
        <v>0.27</v>
      </c>
      <c r="L265">
        <v>1.95</v>
      </c>
      <c r="M265">
        <v>0</v>
      </c>
      <c r="N265">
        <v>0</v>
      </c>
      <c r="O265">
        <v>0.27</v>
      </c>
      <c r="P265">
        <v>0.26</v>
      </c>
      <c r="Q265">
        <v>0</v>
      </c>
      <c r="R265">
        <v>53.55</v>
      </c>
      <c r="S265" s="1">
        <v>123.28740000000001</v>
      </c>
      <c r="T265" s="1">
        <v>2.4899999999999998</v>
      </c>
    </row>
    <row r="266" spans="1:20">
      <c r="A266" s="1" t="s">
        <v>38</v>
      </c>
      <c r="B266">
        <v>2022</v>
      </c>
      <c r="C266">
        <v>1.774</v>
      </c>
      <c r="D266">
        <v>3.359</v>
      </c>
      <c r="E266">
        <v>0</v>
      </c>
      <c r="F266">
        <v>0.747</v>
      </c>
      <c r="G266">
        <v>1.026</v>
      </c>
      <c r="H266" s="3">
        <v>18295132993</v>
      </c>
      <c r="I266">
        <v>0</v>
      </c>
      <c r="J266">
        <v>0.12909999999999999</v>
      </c>
      <c r="K266">
        <v>0.3</v>
      </c>
      <c r="L266">
        <v>2</v>
      </c>
      <c r="M266">
        <v>0</v>
      </c>
      <c r="N266">
        <v>0</v>
      </c>
      <c r="O266">
        <v>0.3</v>
      </c>
      <c r="P266">
        <v>0.28999999999999998</v>
      </c>
      <c r="Q266">
        <v>0</v>
      </c>
      <c r="R266">
        <v>80.87</v>
      </c>
      <c r="S266" s="1">
        <v>136.98599999999999</v>
      </c>
      <c r="T266" s="1">
        <v>2.5999999999999996</v>
      </c>
    </row>
    <row r="267" spans="1:20">
      <c r="A267" s="1" t="s">
        <v>38</v>
      </c>
      <c r="B267">
        <v>2023</v>
      </c>
      <c r="C267">
        <v>1.768</v>
      </c>
      <c r="D267">
        <v>3.3170000000000002</v>
      </c>
      <c r="E267">
        <v>0</v>
      </c>
      <c r="F267">
        <v>0.78200000000000003</v>
      </c>
      <c r="G267">
        <v>0.98499999999999999</v>
      </c>
      <c r="H267" s="3">
        <v>18295132993</v>
      </c>
      <c r="I267">
        <v>0</v>
      </c>
      <c r="J267">
        <v>0.127</v>
      </c>
      <c r="K267">
        <v>0.32</v>
      </c>
      <c r="L267">
        <v>2.0299999999999998</v>
      </c>
      <c r="M267">
        <v>0</v>
      </c>
      <c r="N267">
        <v>0</v>
      </c>
      <c r="O267">
        <v>0.32</v>
      </c>
      <c r="P267">
        <v>0.31</v>
      </c>
      <c r="Q267">
        <v>0</v>
      </c>
      <c r="R267">
        <v>85.3</v>
      </c>
      <c r="S267" s="1">
        <v>146.11840000000001</v>
      </c>
      <c r="T267" s="1">
        <v>2.6699999999999995</v>
      </c>
    </row>
    <row r="268" spans="1:20">
      <c r="A268" s="1" t="s">
        <v>39</v>
      </c>
      <c r="B268">
        <v>2010</v>
      </c>
      <c r="C268">
        <v>182.47900000000001</v>
      </c>
      <c r="D268">
        <v>10.88</v>
      </c>
      <c r="E268">
        <v>33.055</v>
      </c>
      <c r="F268">
        <v>94.173000000000002</v>
      </c>
      <c r="G268">
        <v>52.661000000000001</v>
      </c>
      <c r="H268" s="3">
        <v>728193221597</v>
      </c>
      <c r="I268">
        <v>12397.172</v>
      </c>
      <c r="J268">
        <v>0.17780000000000001</v>
      </c>
      <c r="K268">
        <v>15.16</v>
      </c>
      <c r="L268">
        <v>102.94</v>
      </c>
      <c r="M268">
        <v>0.1</v>
      </c>
      <c r="N268">
        <v>3.97</v>
      </c>
      <c r="O268">
        <v>11.19</v>
      </c>
      <c r="P268">
        <v>0.06</v>
      </c>
      <c r="Q268">
        <v>3.99</v>
      </c>
      <c r="R268">
        <v>14.38</v>
      </c>
      <c r="S268" s="1">
        <v>5109.5778</v>
      </c>
      <c r="T268" s="1">
        <v>129.29</v>
      </c>
    </row>
    <row r="269" spans="1:20">
      <c r="A269" s="1" t="s">
        <v>39</v>
      </c>
      <c r="B269">
        <v>2011</v>
      </c>
      <c r="C269">
        <v>169.346</v>
      </c>
      <c r="D269">
        <v>10.050000000000001</v>
      </c>
      <c r="E269">
        <v>32.093000000000004</v>
      </c>
      <c r="F269">
        <v>82.198999999999998</v>
      </c>
      <c r="G269">
        <v>52.533000000000001</v>
      </c>
      <c r="H269" s="3">
        <v>744614396708</v>
      </c>
      <c r="I269">
        <v>12081.755999999999</v>
      </c>
      <c r="J269">
        <v>0.18015</v>
      </c>
      <c r="K269">
        <v>16.46</v>
      </c>
      <c r="L269">
        <v>96.18</v>
      </c>
      <c r="M269">
        <v>0.06</v>
      </c>
      <c r="N269">
        <v>4.1399999999999997</v>
      </c>
      <c r="O269">
        <v>12.32</v>
      </c>
      <c r="P269">
        <v>0.1</v>
      </c>
      <c r="Q269">
        <v>5.0999999999999996</v>
      </c>
      <c r="R269">
        <v>13.07</v>
      </c>
      <c r="S269" s="1">
        <v>5625.5583999999999</v>
      </c>
      <c r="T269" s="1">
        <v>124.96000000000001</v>
      </c>
    </row>
    <row r="270" spans="1:20">
      <c r="A270" s="1" t="s">
        <v>39</v>
      </c>
      <c r="B270">
        <v>2012</v>
      </c>
      <c r="C270">
        <v>165.75200000000001</v>
      </c>
      <c r="D270">
        <v>9.7989999999999995</v>
      </c>
      <c r="E270">
        <v>34.335999999999999</v>
      </c>
      <c r="F270">
        <v>78.573999999999998</v>
      </c>
      <c r="G270">
        <v>50.442999999999998</v>
      </c>
      <c r="H270" s="3">
        <v>736942199791</v>
      </c>
      <c r="I270">
        <v>13104.987999999999</v>
      </c>
      <c r="J270">
        <v>0.1857</v>
      </c>
      <c r="K270">
        <v>16.38</v>
      </c>
      <c r="L270">
        <v>85.89</v>
      </c>
      <c r="M270">
        <v>0.1</v>
      </c>
      <c r="N270">
        <v>3.91</v>
      </c>
      <c r="O270">
        <v>12.47</v>
      </c>
      <c r="P270">
        <v>0.19</v>
      </c>
      <c r="Q270">
        <v>4.9800000000000004</v>
      </c>
      <c r="R270">
        <v>7.33</v>
      </c>
      <c r="S270" s="1">
        <v>5694.0514000000003</v>
      </c>
      <c r="T270" s="1">
        <v>114.74</v>
      </c>
    </row>
    <row r="271" spans="1:20">
      <c r="A271" s="1" t="s">
        <v>39</v>
      </c>
      <c r="B271">
        <v>2013</v>
      </c>
      <c r="C271">
        <v>164.92500000000001</v>
      </c>
      <c r="D271">
        <v>9.7200000000000006</v>
      </c>
      <c r="E271">
        <v>34.682000000000002</v>
      </c>
      <c r="F271">
        <v>79.183999999999997</v>
      </c>
      <c r="G271">
        <v>48.444000000000003</v>
      </c>
      <c r="H271" s="3">
        <v>735982982299</v>
      </c>
      <c r="I271">
        <v>13150.59</v>
      </c>
      <c r="J271">
        <v>0.19014999999999999</v>
      </c>
      <c r="K271">
        <v>14.99</v>
      </c>
      <c r="L271">
        <v>85.57</v>
      </c>
      <c r="M271">
        <v>0.11</v>
      </c>
      <c r="N271">
        <v>2.89</v>
      </c>
      <c r="O271">
        <v>12.1</v>
      </c>
      <c r="P271">
        <v>0.41</v>
      </c>
      <c r="Q271">
        <v>5.63</v>
      </c>
      <c r="R271">
        <v>4.45</v>
      </c>
      <c r="S271" s="1">
        <v>5525.1019999999999</v>
      </c>
      <c r="T271" s="1">
        <v>112.65999999999998</v>
      </c>
    </row>
    <row r="272" spans="1:20">
      <c r="A272" s="1" t="s">
        <v>39</v>
      </c>
      <c r="B272">
        <v>2014</v>
      </c>
      <c r="C272">
        <v>157.50299999999999</v>
      </c>
      <c r="D272">
        <v>9.2490000000000006</v>
      </c>
      <c r="E272">
        <v>38.171999999999997</v>
      </c>
      <c r="F272">
        <v>69.378</v>
      </c>
      <c r="G272">
        <v>47.304000000000002</v>
      </c>
      <c r="H272" s="3">
        <v>746458868661</v>
      </c>
      <c r="I272">
        <v>15600.112999999999</v>
      </c>
      <c r="J272">
        <v>0.18210000000000001</v>
      </c>
      <c r="K272">
        <v>15.74</v>
      </c>
      <c r="L272">
        <v>86.36</v>
      </c>
      <c r="M272">
        <v>0.11</v>
      </c>
      <c r="N272">
        <v>4.09</v>
      </c>
      <c r="O272">
        <v>11.65</v>
      </c>
      <c r="P272">
        <v>0.73</v>
      </c>
      <c r="Q272">
        <v>5.8</v>
      </c>
      <c r="R272">
        <v>5.96</v>
      </c>
      <c r="S272" s="1">
        <v>5319.6230000000005</v>
      </c>
      <c r="T272" s="1">
        <v>113.75</v>
      </c>
    </row>
    <row r="273" spans="1:20">
      <c r="A273" s="1" t="s">
        <v>39</v>
      </c>
      <c r="B273">
        <v>2015</v>
      </c>
      <c r="C273">
        <v>163.958</v>
      </c>
      <c r="D273">
        <v>9.5839999999999996</v>
      </c>
      <c r="E273">
        <v>45.539000000000001</v>
      </c>
      <c r="F273">
        <v>68.561000000000007</v>
      </c>
      <c r="G273">
        <v>47.298000000000002</v>
      </c>
      <c r="H273" s="3">
        <v>761083250759</v>
      </c>
      <c r="I273">
        <v>17499.394</v>
      </c>
      <c r="J273">
        <v>0.19159999999999999</v>
      </c>
      <c r="K273">
        <v>17.77</v>
      </c>
      <c r="L273">
        <v>91.22</v>
      </c>
      <c r="M273">
        <v>0.09</v>
      </c>
      <c r="N273">
        <v>4.08</v>
      </c>
      <c r="O273">
        <v>13.69</v>
      </c>
      <c r="P273">
        <v>1.1100000000000001</v>
      </c>
      <c r="Q273">
        <v>7.55</v>
      </c>
      <c r="R273">
        <v>7.68</v>
      </c>
      <c r="S273" s="1">
        <v>6251.1278000000002</v>
      </c>
      <c r="T273" s="1">
        <v>122.67999999999999</v>
      </c>
    </row>
    <row r="274" spans="1:20">
      <c r="A274" s="1" t="s">
        <v>39</v>
      </c>
      <c r="B274">
        <v>2016</v>
      </c>
      <c r="C274">
        <v>164.81200000000001</v>
      </c>
      <c r="D274">
        <v>9.5790000000000006</v>
      </c>
      <c r="E274">
        <v>42.642000000000003</v>
      </c>
      <c r="F274">
        <v>71.762</v>
      </c>
      <c r="G274">
        <v>47.761000000000003</v>
      </c>
      <c r="H274" s="3">
        <v>777764090323</v>
      </c>
      <c r="I274">
        <v>16498.635999999999</v>
      </c>
      <c r="J274">
        <v>0.16060000000000002</v>
      </c>
      <c r="K274">
        <v>18.739999999999998</v>
      </c>
      <c r="L274">
        <v>95.22</v>
      </c>
      <c r="M274">
        <v>0.1</v>
      </c>
      <c r="N274">
        <v>3.96</v>
      </c>
      <c r="O274">
        <v>14.78</v>
      </c>
      <c r="P274">
        <v>1.6</v>
      </c>
      <c r="Q274">
        <v>8.17</v>
      </c>
      <c r="R274">
        <v>5.35</v>
      </c>
      <c r="S274" s="1">
        <v>6748.8436000000002</v>
      </c>
      <c r="T274" s="1">
        <v>128.73999999999998</v>
      </c>
    </row>
    <row r="275" spans="1:20">
      <c r="A275" s="1" t="s">
        <v>39</v>
      </c>
      <c r="B275">
        <v>2017</v>
      </c>
      <c r="C275">
        <v>162.29599999999999</v>
      </c>
      <c r="D275">
        <v>9.3729999999999993</v>
      </c>
      <c r="E275">
        <v>38.511000000000003</v>
      </c>
      <c r="F275">
        <v>73.349000000000004</v>
      </c>
      <c r="G275">
        <v>47.637</v>
      </c>
      <c r="H275" s="3">
        <v>800404023156</v>
      </c>
      <c r="I275">
        <v>15020.291999999999</v>
      </c>
      <c r="J275">
        <v>0.1595</v>
      </c>
      <c r="K275">
        <v>20.83</v>
      </c>
      <c r="L275">
        <v>95.21</v>
      </c>
      <c r="M275">
        <v>0.06</v>
      </c>
      <c r="N275">
        <v>3.4</v>
      </c>
      <c r="O275">
        <v>17.43</v>
      </c>
      <c r="P275">
        <v>2.2000000000000002</v>
      </c>
      <c r="Q275">
        <v>10.57</v>
      </c>
      <c r="R275">
        <v>5.83</v>
      </c>
      <c r="S275" s="1">
        <v>7958.8865999999998</v>
      </c>
      <c r="T275" s="1">
        <v>133.47</v>
      </c>
    </row>
    <row r="276" spans="1:20">
      <c r="A276" s="1" t="s">
        <v>39</v>
      </c>
      <c r="B276">
        <v>2018</v>
      </c>
      <c r="C276">
        <v>158.26400000000001</v>
      </c>
      <c r="D276">
        <v>9.0850000000000009</v>
      </c>
      <c r="E276">
        <v>35.112000000000002</v>
      </c>
      <c r="F276">
        <v>72.736000000000004</v>
      </c>
      <c r="G276">
        <v>47.786999999999999</v>
      </c>
      <c r="H276" s="3">
        <v>819300805024</v>
      </c>
      <c r="I276">
        <v>13153.905000000001</v>
      </c>
      <c r="J276">
        <v>0.18</v>
      </c>
      <c r="K276">
        <v>22.39</v>
      </c>
      <c r="L276">
        <v>90.71</v>
      </c>
      <c r="M276">
        <v>7.0000000000000007E-2</v>
      </c>
      <c r="N276">
        <v>3.51</v>
      </c>
      <c r="O276">
        <v>18.88</v>
      </c>
      <c r="P276">
        <v>3.71</v>
      </c>
      <c r="Q276">
        <v>10.55</v>
      </c>
      <c r="R276">
        <v>15.88</v>
      </c>
      <c r="S276" s="1">
        <v>8620.9856</v>
      </c>
      <c r="T276" s="1">
        <v>131.97999999999999</v>
      </c>
    </row>
    <row r="277" spans="1:20">
      <c r="A277" s="1" t="s">
        <v>39</v>
      </c>
      <c r="B277">
        <v>2019</v>
      </c>
      <c r="C277">
        <v>152.727</v>
      </c>
      <c r="D277">
        <v>8.7089999999999996</v>
      </c>
      <c r="E277">
        <v>27.576000000000001</v>
      </c>
      <c r="F277">
        <v>75.064999999999998</v>
      </c>
      <c r="G277">
        <v>47.835000000000001</v>
      </c>
      <c r="H277" s="3">
        <v>835323029559</v>
      </c>
      <c r="I277">
        <v>10474.48</v>
      </c>
      <c r="J277">
        <v>0.20649999999999999</v>
      </c>
      <c r="K277">
        <v>26.71</v>
      </c>
      <c r="L277">
        <v>93.34</v>
      </c>
      <c r="M277">
        <v>7.0000000000000007E-2</v>
      </c>
      <c r="N277">
        <v>3.91</v>
      </c>
      <c r="O277">
        <v>22.8</v>
      </c>
      <c r="P277">
        <v>5.4</v>
      </c>
      <c r="Q277">
        <v>11.51</v>
      </c>
      <c r="R277">
        <v>24.84</v>
      </c>
      <c r="S277" s="1">
        <v>10410.936</v>
      </c>
      <c r="T277" s="1">
        <v>142.85000000000002</v>
      </c>
    </row>
    <row r="278" spans="1:20">
      <c r="A278" s="1" t="s">
        <v>39</v>
      </c>
      <c r="B278">
        <v>2020</v>
      </c>
      <c r="C278">
        <v>136.97399999999999</v>
      </c>
      <c r="D278">
        <v>7.766</v>
      </c>
      <c r="E278">
        <v>19.402000000000001</v>
      </c>
      <c r="F278">
        <v>73.125</v>
      </c>
      <c r="G278">
        <v>42.414999999999999</v>
      </c>
      <c r="H278" s="3">
        <v>802861622095</v>
      </c>
      <c r="I278">
        <v>6101.4719999999998</v>
      </c>
      <c r="J278">
        <v>0.13965</v>
      </c>
      <c r="K278">
        <v>36.82</v>
      </c>
      <c r="L278">
        <v>85.14</v>
      </c>
      <c r="M278">
        <v>0.05</v>
      </c>
      <c r="N278">
        <v>4.09</v>
      </c>
      <c r="O278">
        <v>32.729999999999997</v>
      </c>
      <c r="P278">
        <v>8.57</v>
      </c>
      <c r="Q278">
        <v>15.27</v>
      </c>
      <c r="R278">
        <v>24.75</v>
      </c>
      <c r="S278" s="1">
        <v>14945.172599999998</v>
      </c>
      <c r="T278" s="1">
        <v>154.69</v>
      </c>
    </row>
    <row r="279" spans="1:20">
      <c r="A279" s="1" t="s">
        <v>39</v>
      </c>
      <c r="B279">
        <v>2021</v>
      </c>
      <c r="C279">
        <v>139.886</v>
      </c>
      <c r="D279">
        <v>7.89</v>
      </c>
      <c r="E279">
        <v>24.983000000000001</v>
      </c>
      <c r="F279">
        <v>69.825999999999993</v>
      </c>
      <c r="G279">
        <v>42.795000000000002</v>
      </c>
      <c r="H279" s="3">
        <v>841906706612</v>
      </c>
      <c r="I279">
        <v>8814.8880000000008</v>
      </c>
      <c r="J279">
        <v>0.13650000000000001</v>
      </c>
      <c r="K279">
        <v>44.27</v>
      </c>
      <c r="L279">
        <v>76.62</v>
      </c>
      <c r="M279">
        <v>0.09</v>
      </c>
      <c r="N279">
        <v>3.83</v>
      </c>
      <c r="O279">
        <v>40.44</v>
      </c>
      <c r="P279">
        <v>11.3</v>
      </c>
      <c r="Q279">
        <v>18.13</v>
      </c>
      <c r="R279">
        <v>53.55</v>
      </c>
      <c r="S279" s="1">
        <v>18465.712799999998</v>
      </c>
      <c r="T279" s="1">
        <v>161.33000000000001</v>
      </c>
    </row>
    <row r="280" spans="1:20">
      <c r="A280" s="1" t="s">
        <v>39</v>
      </c>
      <c r="B280">
        <v>2022</v>
      </c>
      <c r="C280">
        <v>127.503</v>
      </c>
      <c r="D280">
        <v>7.1210000000000004</v>
      </c>
      <c r="E280">
        <v>24.317</v>
      </c>
      <c r="F280">
        <v>57.125</v>
      </c>
      <c r="G280">
        <v>43.774999999999999</v>
      </c>
      <c r="H280" s="3">
        <v>879609110665</v>
      </c>
      <c r="I280">
        <v>9111.2620000000006</v>
      </c>
      <c r="J280">
        <v>8.7849999999999998E-2</v>
      </c>
      <c r="K280">
        <v>52.26</v>
      </c>
      <c r="L280">
        <v>67.7</v>
      </c>
      <c r="M280">
        <v>0.05</v>
      </c>
      <c r="N280">
        <v>4.16</v>
      </c>
      <c r="O280">
        <v>48.1</v>
      </c>
      <c r="P280">
        <v>16.66</v>
      </c>
      <c r="Q280">
        <v>21.57</v>
      </c>
      <c r="R280">
        <v>80.87</v>
      </c>
      <c r="S280" s="1">
        <v>21963.422000000002</v>
      </c>
      <c r="T280" s="1">
        <v>168.06</v>
      </c>
    </row>
    <row r="281" spans="1:20">
      <c r="A281" s="1" t="s">
        <v>39</v>
      </c>
      <c r="B281">
        <v>2023</v>
      </c>
      <c r="C281">
        <v>117.01600000000001</v>
      </c>
      <c r="D281">
        <v>6.468</v>
      </c>
      <c r="E281">
        <v>17.236999999999998</v>
      </c>
      <c r="F281">
        <v>53.688000000000002</v>
      </c>
      <c r="G281">
        <v>44.07</v>
      </c>
      <c r="H281" s="3">
        <v>879609110665</v>
      </c>
      <c r="I281">
        <v>6538.2309999999998</v>
      </c>
      <c r="J281">
        <v>0.30309999999999998</v>
      </c>
      <c r="K281">
        <v>60.83</v>
      </c>
      <c r="L281">
        <v>59.13</v>
      </c>
      <c r="M281">
        <v>7.0000000000000007E-2</v>
      </c>
      <c r="N281">
        <v>3.99</v>
      </c>
      <c r="O281">
        <v>56.84</v>
      </c>
      <c r="P281">
        <v>19.61</v>
      </c>
      <c r="Q281">
        <v>29.52</v>
      </c>
      <c r="R281">
        <v>85.3</v>
      </c>
      <c r="S281" s="1">
        <v>25954.2808</v>
      </c>
      <c r="T281" s="1">
        <v>176.8</v>
      </c>
    </row>
    <row r="282" spans="1:20">
      <c r="A282" s="1" t="s">
        <v>40</v>
      </c>
      <c r="B282">
        <v>2010</v>
      </c>
      <c r="C282">
        <v>334.02800000000002</v>
      </c>
      <c r="D282">
        <v>8.7680000000000007</v>
      </c>
      <c r="E282">
        <v>220.92699999999999</v>
      </c>
      <c r="F282">
        <v>29.135000000000002</v>
      </c>
      <c r="G282">
        <v>69.972999999999999</v>
      </c>
      <c r="H282" s="3">
        <v>795619859853</v>
      </c>
      <c r="I282">
        <v>13779</v>
      </c>
      <c r="J282">
        <v>0.13614999999999999</v>
      </c>
      <c r="K282">
        <v>10.88</v>
      </c>
      <c r="L282">
        <v>145.88999999999999</v>
      </c>
      <c r="M282">
        <v>2.92</v>
      </c>
      <c r="N282">
        <v>0</v>
      </c>
      <c r="O282">
        <v>10.88</v>
      </c>
      <c r="P282">
        <v>0</v>
      </c>
      <c r="Q282">
        <v>1.66</v>
      </c>
      <c r="R282">
        <v>14.38</v>
      </c>
      <c r="S282" s="1">
        <v>4968.0256000000008</v>
      </c>
      <c r="T282" s="1">
        <v>167.64999999999998</v>
      </c>
    </row>
    <row r="283" spans="1:20">
      <c r="A283" s="1" t="s">
        <v>40</v>
      </c>
      <c r="B283">
        <v>2011</v>
      </c>
      <c r="C283">
        <v>333.40600000000001</v>
      </c>
      <c r="D283">
        <v>8.7260000000000009</v>
      </c>
      <c r="E283">
        <v>218.37899999999999</v>
      </c>
      <c r="F283">
        <v>29.324999999999999</v>
      </c>
      <c r="G283">
        <v>69.599000000000004</v>
      </c>
      <c r="H283" s="3">
        <v>843236863910</v>
      </c>
      <c r="I283">
        <v>15215</v>
      </c>
      <c r="J283">
        <v>0.1411</v>
      </c>
      <c r="K283">
        <v>13.13</v>
      </c>
      <c r="L283">
        <v>149.74</v>
      </c>
      <c r="M283">
        <v>2.33</v>
      </c>
      <c r="N283">
        <v>0</v>
      </c>
      <c r="O283">
        <v>13.13</v>
      </c>
      <c r="P283">
        <v>0</v>
      </c>
      <c r="Q283">
        <v>3.2</v>
      </c>
      <c r="R283">
        <v>13.07</v>
      </c>
      <c r="S283" s="1">
        <v>5995.4206000000004</v>
      </c>
      <c r="T283" s="1">
        <v>176</v>
      </c>
    </row>
    <row r="284" spans="1:20">
      <c r="A284" s="1" t="s">
        <v>40</v>
      </c>
      <c r="B284">
        <v>2012</v>
      </c>
      <c r="C284">
        <v>325.77800000000002</v>
      </c>
      <c r="D284">
        <v>8.5180000000000007</v>
      </c>
      <c r="E284">
        <v>214.04</v>
      </c>
      <c r="F284">
        <v>30.559000000000001</v>
      </c>
      <c r="G284">
        <v>66.311999999999998</v>
      </c>
      <c r="H284" s="3">
        <v>856266755052</v>
      </c>
      <c r="I284">
        <v>10482</v>
      </c>
      <c r="J284">
        <v>0.14735000000000001</v>
      </c>
      <c r="K284">
        <v>16.88</v>
      </c>
      <c r="L284">
        <v>144.6</v>
      </c>
      <c r="M284">
        <v>2.04</v>
      </c>
      <c r="N284">
        <v>0</v>
      </c>
      <c r="O284">
        <v>16.88</v>
      </c>
      <c r="P284">
        <v>0</v>
      </c>
      <c r="Q284">
        <v>4.75</v>
      </c>
      <c r="R284">
        <v>7.33</v>
      </c>
      <c r="S284" s="1">
        <v>7707.7455999999993</v>
      </c>
      <c r="T284" s="1">
        <v>178.35999999999999</v>
      </c>
    </row>
    <row r="285" spans="1:20">
      <c r="A285" s="1" t="s">
        <v>40</v>
      </c>
      <c r="B285">
        <v>2013</v>
      </c>
      <c r="C285">
        <v>321.75700000000001</v>
      </c>
      <c r="D285">
        <v>8.41</v>
      </c>
      <c r="E285">
        <v>214.31399999999999</v>
      </c>
      <c r="F285">
        <v>30.808</v>
      </c>
      <c r="G285">
        <v>61.680999999999997</v>
      </c>
      <c r="H285" s="3">
        <v>863601156195</v>
      </c>
      <c r="I285">
        <v>10941</v>
      </c>
      <c r="J285">
        <v>0.14584999999999998</v>
      </c>
      <c r="K285">
        <v>17.059999999999999</v>
      </c>
      <c r="L285">
        <v>146.72</v>
      </c>
      <c r="M285">
        <v>2.44</v>
      </c>
      <c r="N285">
        <v>0</v>
      </c>
      <c r="O285">
        <v>17.059999999999999</v>
      </c>
      <c r="P285">
        <v>0</v>
      </c>
      <c r="Q285">
        <v>6</v>
      </c>
      <c r="R285">
        <v>4.45</v>
      </c>
      <c r="S285" s="1">
        <v>7789.9371999999994</v>
      </c>
      <c r="T285" s="1">
        <v>180.84</v>
      </c>
    </row>
    <row r="286" spans="1:20">
      <c r="A286" s="1" t="s">
        <v>40</v>
      </c>
      <c r="B286">
        <v>2014</v>
      </c>
      <c r="C286">
        <v>309.41500000000002</v>
      </c>
      <c r="D286">
        <v>8.0860000000000003</v>
      </c>
      <c r="E286">
        <v>202.99700000000001</v>
      </c>
      <c r="F286">
        <v>29.468</v>
      </c>
      <c r="G286">
        <v>61.381</v>
      </c>
      <c r="H286" s="3">
        <v>896737189458</v>
      </c>
      <c r="I286">
        <v>10872</v>
      </c>
      <c r="J286">
        <v>0.14145000000000002</v>
      </c>
      <c r="K286">
        <v>19.850000000000001</v>
      </c>
      <c r="L286">
        <v>138.5</v>
      </c>
      <c r="M286">
        <v>2.1800000000000002</v>
      </c>
      <c r="N286">
        <v>0</v>
      </c>
      <c r="O286">
        <v>19.850000000000001</v>
      </c>
      <c r="P286">
        <v>0.01</v>
      </c>
      <c r="Q286">
        <v>7.68</v>
      </c>
      <c r="R286">
        <v>5.96</v>
      </c>
      <c r="S286" s="1">
        <v>9063.9070000000011</v>
      </c>
      <c r="T286" s="1">
        <v>178.2</v>
      </c>
    </row>
    <row r="287" spans="1:20">
      <c r="A287" s="1" t="s">
        <v>40</v>
      </c>
      <c r="B287">
        <v>2015</v>
      </c>
      <c r="C287">
        <v>312.54899999999998</v>
      </c>
      <c r="D287">
        <v>8.1679999999999993</v>
      </c>
      <c r="E287">
        <v>201.64699999999999</v>
      </c>
      <c r="F287">
        <v>30.634</v>
      </c>
      <c r="G287">
        <v>64.793999999999997</v>
      </c>
      <c r="H287" s="3">
        <v>936043804062</v>
      </c>
      <c r="I287">
        <v>8721</v>
      </c>
      <c r="J287">
        <v>0.1431</v>
      </c>
      <c r="K287">
        <v>22.69</v>
      </c>
      <c r="L287">
        <v>141.61000000000001</v>
      </c>
      <c r="M287">
        <v>1.83</v>
      </c>
      <c r="N287">
        <v>0</v>
      </c>
      <c r="O287">
        <v>22.69</v>
      </c>
      <c r="P287">
        <v>0.06</v>
      </c>
      <c r="Q287">
        <v>10.86</v>
      </c>
      <c r="R287">
        <v>7.68</v>
      </c>
      <c r="S287" s="1">
        <v>10360.7078</v>
      </c>
      <c r="T287" s="1">
        <v>186.99</v>
      </c>
    </row>
    <row r="288" spans="1:20">
      <c r="A288" s="1" t="s">
        <v>40</v>
      </c>
      <c r="B288">
        <v>2016</v>
      </c>
      <c r="C288">
        <v>323.3</v>
      </c>
      <c r="D288">
        <v>8.4489999999999998</v>
      </c>
      <c r="E288">
        <v>202.09899999999999</v>
      </c>
      <c r="F288">
        <v>32.42</v>
      </c>
      <c r="G288">
        <v>72.897000000000006</v>
      </c>
      <c r="H288" s="3">
        <v>963689941627</v>
      </c>
      <c r="I288">
        <v>8734</v>
      </c>
      <c r="J288">
        <v>0.13419999999999999</v>
      </c>
      <c r="K288">
        <v>22.81</v>
      </c>
      <c r="L288">
        <v>143.19</v>
      </c>
      <c r="M288">
        <v>2.14</v>
      </c>
      <c r="N288">
        <v>0</v>
      </c>
      <c r="O288">
        <v>22.81</v>
      </c>
      <c r="P288">
        <v>0.12</v>
      </c>
      <c r="Q288">
        <v>12.59</v>
      </c>
      <c r="R288">
        <v>5.35</v>
      </c>
      <c r="S288" s="1">
        <v>10415.502199999999</v>
      </c>
      <c r="T288" s="1">
        <v>188.81</v>
      </c>
    </row>
    <row r="289" spans="1:20">
      <c r="A289" s="1" t="s">
        <v>40</v>
      </c>
      <c r="B289">
        <v>2017</v>
      </c>
      <c r="C289">
        <v>336.505</v>
      </c>
      <c r="D289">
        <v>8.7959999999999994</v>
      </c>
      <c r="E289">
        <v>203.50399999999999</v>
      </c>
      <c r="F289">
        <v>34.130000000000003</v>
      </c>
      <c r="G289">
        <v>82.451999999999998</v>
      </c>
      <c r="H289" s="3">
        <v>1013223736654</v>
      </c>
      <c r="I289">
        <v>13385.213</v>
      </c>
      <c r="J289">
        <v>0.14485000000000001</v>
      </c>
      <c r="K289">
        <v>24.13</v>
      </c>
      <c r="L289">
        <v>145.78</v>
      </c>
      <c r="M289">
        <v>2.56</v>
      </c>
      <c r="N289">
        <v>0</v>
      </c>
      <c r="O289">
        <v>24.13</v>
      </c>
      <c r="P289">
        <v>0.17</v>
      </c>
      <c r="Q289">
        <v>14.91</v>
      </c>
      <c r="R289">
        <v>5.83</v>
      </c>
      <c r="S289" s="1">
        <v>11018.240599999999</v>
      </c>
      <c r="T289" s="1">
        <v>194.04</v>
      </c>
    </row>
    <row r="290" spans="1:20">
      <c r="A290" s="1" t="s">
        <v>40</v>
      </c>
      <c r="B290">
        <v>2018</v>
      </c>
      <c r="C290">
        <v>335.71899999999999</v>
      </c>
      <c r="D290">
        <v>8.7789999999999999</v>
      </c>
      <c r="E290">
        <v>198.673</v>
      </c>
      <c r="F290">
        <v>34.274000000000001</v>
      </c>
      <c r="G290">
        <v>85.491</v>
      </c>
      <c r="H290" s="3">
        <v>1073462064151</v>
      </c>
      <c r="I290">
        <v>19740.815999999999</v>
      </c>
      <c r="J290">
        <v>0.14029999999999998</v>
      </c>
      <c r="K290">
        <v>21.62</v>
      </c>
      <c r="L290">
        <v>147.81</v>
      </c>
      <c r="M290">
        <v>1.97</v>
      </c>
      <c r="N290">
        <v>0</v>
      </c>
      <c r="O290">
        <v>21.62</v>
      </c>
      <c r="P290">
        <v>0.3</v>
      </c>
      <c r="Q290">
        <v>12.8</v>
      </c>
      <c r="R290">
        <v>15.88</v>
      </c>
      <c r="S290" s="1">
        <v>9872.1244000000006</v>
      </c>
      <c r="T290" s="1">
        <v>191.05</v>
      </c>
    </row>
    <row r="291" spans="1:20">
      <c r="A291" s="1" t="s">
        <v>40</v>
      </c>
      <c r="B291">
        <v>2019</v>
      </c>
      <c r="C291">
        <v>317.44400000000002</v>
      </c>
      <c r="D291">
        <v>8.3040000000000003</v>
      </c>
      <c r="E291">
        <v>177.75299999999999</v>
      </c>
      <c r="F291">
        <v>35.494999999999997</v>
      </c>
      <c r="G291">
        <v>87.278000000000006</v>
      </c>
      <c r="H291" s="3">
        <v>1121231497071</v>
      </c>
      <c r="I291">
        <v>17165.953000000001</v>
      </c>
      <c r="J291">
        <v>0.13595000000000002</v>
      </c>
      <c r="K291">
        <v>25.46</v>
      </c>
      <c r="L291">
        <v>137.76</v>
      </c>
      <c r="M291">
        <v>1.96</v>
      </c>
      <c r="N291">
        <v>0</v>
      </c>
      <c r="O291">
        <v>25.46</v>
      </c>
      <c r="P291">
        <v>0.71</v>
      </c>
      <c r="Q291">
        <v>15.11</v>
      </c>
      <c r="R291">
        <v>24.84</v>
      </c>
      <c r="S291" s="1">
        <v>11625.5452</v>
      </c>
      <c r="T291" s="1">
        <v>188.68</v>
      </c>
    </row>
    <row r="292" spans="1:20">
      <c r="A292" s="1" t="s">
        <v>40</v>
      </c>
      <c r="B292">
        <v>2020</v>
      </c>
      <c r="C292">
        <v>302.10199999999998</v>
      </c>
      <c r="D292">
        <v>7.9139999999999997</v>
      </c>
      <c r="E292">
        <v>164.196</v>
      </c>
      <c r="F292">
        <v>36.731000000000002</v>
      </c>
      <c r="G292">
        <v>84.234999999999999</v>
      </c>
      <c r="H292" s="3">
        <v>1098581305284</v>
      </c>
      <c r="I292">
        <v>13129.897000000001</v>
      </c>
      <c r="J292">
        <v>0.14924999999999999</v>
      </c>
      <c r="K292">
        <v>28.23</v>
      </c>
      <c r="L292">
        <v>128.91999999999999</v>
      </c>
      <c r="M292">
        <v>2.12</v>
      </c>
      <c r="N292">
        <v>0</v>
      </c>
      <c r="O292">
        <v>28.23</v>
      </c>
      <c r="P292">
        <v>1.96</v>
      </c>
      <c r="Q292">
        <v>15.8</v>
      </c>
      <c r="R292">
        <v>24.75</v>
      </c>
      <c r="S292" s="1">
        <v>12890.382600000001</v>
      </c>
      <c r="T292" s="1">
        <v>185.37999999999997</v>
      </c>
    </row>
    <row r="293" spans="1:20">
      <c r="A293" s="1" t="s">
        <v>40</v>
      </c>
      <c r="B293">
        <v>2021</v>
      </c>
      <c r="C293">
        <v>330.69400000000002</v>
      </c>
      <c r="D293">
        <v>8.6929999999999996</v>
      </c>
      <c r="E293">
        <v>184.114</v>
      </c>
      <c r="F293">
        <v>39.734000000000002</v>
      </c>
      <c r="G293">
        <v>89.709000000000003</v>
      </c>
      <c r="H293" s="3">
        <v>1173809548862</v>
      </c>
      <c r="I293">
        <v>12745.817999999999</v>
      </c>
      <c r="J293">
        <v>0.15610000000000002</v>
      </c>
      <c r="K293">
        <v>30.56</v>
      </c>
      <c r="L293">
        <v>148.22999999999999</v>
      </c>
      <c r="M293">
        <v>2.34</v>
      </c>
      <c r="N293">
        <v>0</v>
      </c>
      <c r="O293">
        <v>30.56</v>
      </c>
      <c r="P293">
        <v>3.93</v>
      </c>
      <c r="Q293">
        <v>16.23</v>
      </c>
      <c r="R293">
        <v>53.55</v>
      </c>
      <c r="S293" s="1">
        <v>13954.307199999999</v>
      </c>
      <c r="T293" s="1">
        <v>209.35</v>
      </c>
    </row>
    <row r="294" spans="1:20">
      <c r="A294" s="1" t="s">
        <v>40</v>
      </c>
      <c r="B294">
        <v>2022</v>
      </c>
      <c r="C294">
        <v>314.892</v>
      </c>
      <c r="D294">
        <v>8.2029999999999994</v>
      </c>
      <c r="E294">
        <v>172.49299999999999</v>
      </c>
      <c r="F294">
        <v>34.293999999999997</v>
      </c>
      <c r="G294">
        <v>90.97</v>
      </c>
      <c r="H294" s="3">
        <v>1231021338216</v>
      </c>
      <c r="I294">
        <v>20510.756000000001</v>
      </c>
      <c r="J294">
        <v>0.15339999999999998</v>
      </c>
      <c r="K294">
        <v>37.69</v>
      </c>
      <c r="L294">
        <v>140.91</v>
      </c>
      <c r="M294">
        <v>1.97</v>
      </c>
      <c r="N294">
        <v>0</v>
      </c>
      <c r="O294">
        <v>37.69</v>
      </c>
      <c r="P294">
        <v>8.31</v>
      </c>
      <c r="Q294">
        <v>19.78</v>
      </c>
      <c r="R294">
        <v>80.87</v>
      </c>
      <c r="S294" s="1">
        <v>17210.007799999999</v>
      </c>
      <c r="T294" s="1">
        <v>216.29</v>
      </c>
    </row>
    <row r="295" spans="1:20">
      <c r="A295" s="1" t="s">
        <v>40</v>
      </c>
      <c r="B295">
        <v>2023</v>
      </c>
      <c r="C295">
        <v>283.24299999999999</v>
      </c>
      <c r="D295">
        <v>7.3070000000000004</v>
      </c>
      <c r="E295">
        <v>141.92400000000001</v>
      </c>
      <c r="F295">
        <v>35.880000000000003</v>
      </c>
      <c r="G295">
        <v>90.697000000000003</v>
      </c>
      <c r="H295" s="3">
        <v>1231021338216</v>
      </c>
      <c r="I295">
        <v>17305.671999999999</v>
      </c>
      <c r="J295">
        <v>0.19655</v>
      </c>
      <c r="K295">
        <v>45.86</v>
      </c>
      <c r="L295">
        <v>119.66</v>
      </c>
      <c r="M295">
        <v>2.41</v>
      </c>
      <c r="N295">
        <v>0</v>
      </c>
      <c r="O295">
        <v>45.86</v>
      </c>
      <c r="P295">
        <v>11.11</v>
      </c>
      <c r="Q295">
        <v>24.18</v>
      </c>
      <c r="R295">
        <v>85.3</v>
      </c>
      <c r="S295" s="1">
        <v>20940.593199999999</v>
      </c>
      <c r="T295" s="1">
        <v>211.38</v>
      </c>
    </row>
    <row r="296" spans="1:20">
      <c r="A296" s="1" t="s">
        <v>41</v>
      </c>
      <c r="B296">
        <v>2010</v>
      </c>
      <c r="C296">
        <v>52.89</v>
      </c>
      <c r="D296">
        <v>5</v>
      </c>
      <c r="E296">
        <v>6.4240000000000004</v>
      </c>
      <c r="F296">
        <v>10.409000000000001</v>
      </c>
      <c r="G296">
        <v>31.346</v>
      </c>
      <c r="H296" s="3">
        <v>267277408809</v>
      </c>
      <c r="I296">
        <v>2660</v>
      </c>
      <c r="J296">
        <v>0.16250000000000001</v>
      </c>
      <c r="K296">
        <v>28.35</v>
      </c>
      <c r="L296">
        <v>25.13</v>
      </c>
      <c r="M296">
        <v>16.149999999999999</v>
      </c>
      <c r="N296">
        <v>0</v>
      </c>
      <c r="O296">
        <v>28.35</v>
      </c>
      <c r="P296">
        <v>0.21</v>
      </c>
      <c r="Q296">
        <v>9.18</v>
      </c>
      <c r="R296">
        <v>14.38</v>
      </c>
      <c r="S296" s="1">
        <v>12945.177000000001</v>
      </c>
      <c r="T296" s="1">
        <v>81.830000000000013</v>
      </c>
    </row>
    <row r="297" spans="1:20">
      <c r="A297" s="1" t="s">
        <v>41</v>
      </c>
      <c r="B297">
        <v>2011</v>
      </c>
      <c r="C297">
        <v>51.783999999999999</v>
      </c>
      <c r="D297">
        <v>4.9050000000000002</v>
      </c>
      <c r="E297">
        <v>8.6319999999999997</v>
      </c>
      <c r="F297">
        <v>10.526</v>
      </c>
      <c r="G297">
        <v>28.457000000000001</v>
      </c>
      <c r="H297" s="3">
        <v>263425010810</v>
      </c>
      <c r="I297">
        <v>3598</v>
      </c>
      <c r="J297">
        <v>0.17674999999999999</v>
      </c>
      <c r="K297">
        <v>24.11</v>
      </c>
      <c r="L297">
        <v>27.67</v>
      </c>
      <c r="M297">
        <v>11.54</v>
      </c>
      <c r="N297">
        <v>0</v>
      </c>
      <c r="O297">
        <v>24.11</v>
      </c>
      <c r="P297">
        <v>0.28000000000000003</v>
      </c>
      <c r="Q297">
        <v>9.16</v>
      </c>
      <c r="R297">
        <v>13.07</v>
      </c>
      <c r="S297" s="1">
        <v>11009.108200000001</v>
      </c>
      <c r="T297" s="1">
        <v>75.89</v>
      </c>
    </row>
    <row r="298" spans="1:20">
      <c r="A298" s="1" t="s">
        <v>41</v>
      </c>
      <c r="B298">
        <v>2012</v>
      </c>
      <c r="C298">
        <v>49.932000000000002</v>
      </c>
      <c r="D298">
        <v>4.7489999999999997</v>
      </c>
      <c r="E298">
        <v>11.135</v>
      </c>
      <c r="F298">
        <v>9.1029999999999998</v>
      </c>
      <c r="G298">
        <v>25.600999999999999</v>
      </c>
      <c r="H298" s="3">
        <v>252737143203</v>
      </c>
      <c r="I298">
        <v>5036</v>
      </c>
      <c r="J298">
        <v>0.20280000000000001</v>
      </c>
      <c r="K298">
        <v>19.37</v>
      </c>
      <c r="L298">
        <v>26.07</v>
      </c>
      <c r="M298">
        <v>5.62</v>
      </c>
      <c r="N298">
        <v>0</v>
      </c>
      <c r="O298">
        <v>19.37</v>
      </c>
      <c r="P298">
        <v>0.39</v>
      </c>
      <c r="Q298">
        <v>10.26</v>
      </c>
      <c r="R298">
        <v>7.33</v>
      </c>
      <c r="S298" s="1">
        <v>8844.7294000000002</v>
      </c>
      <c r="T298" s="1">
        <v>64.81</v>
      </c>
    </row>
    <row r="299" spans="1:20">
      <c r="A299" s="1" t="s">
        <v>41</v>
      </c>
      <c r="B299">
        <v>2013</v>
      </c>
      <c r="C299">
        <v>48.146000000000001</v>
      </c>
      <c r="D299">
        <v>4.6040000000000001</v>
      </c>
      <c r="E299">
        <v>10.191000000000001</v>
      </c>
      <c r="F299">
        <v>8.1189999999999998</v>
      </c>
      <c r="G299">
        <v>24.972999999999999</v>
      </c>
      <c r="H299" s="3">
        <v>250405237435</v>
      </c>
      <c r="I299">
        <v>4246</v>
      </c>
      <c r="J299">
        <v>0.21060000000000001</v>
      </c>
      <c r="K299">
        <v>29.47</v>
      </c>
      <c r="L299">
        <v>20.88</v>
      </c>
      <c r="M299">
        <v>13.73</v>
      </c>
      <c r="N299">
        <v>0</v>
      </c>
      <c r="O299">
        <v>29.47</v>
      </c>
      <c r="P299">
        <v>0.48</v>
      </c>
      <c r="Q299">
        <v>12.01</v>
      </c>
      <c r="R299">
        <v>4.45</v>
      </c>
      <c r="S299" s="1">
        <v>13456.591399999999</v>
      </c>
      <c r="T299" s="1">
        <v>79.819999999999993</v>
      </c>
    </row>
    <row r="300" spans="1:20">
      <c r="A300" s="1" t="s">
        <v>41</v>
      </c>
      <c r="B300">
        <v>2014</v>
      </c>
      <c r="C300">
        <v>47.942</v>
      </c>
      <c r="D300">
        <v>4.6070000000000002</v>
      </c>
      <c r="E300">
        <v>10.316000000000001</v>
      </c>
      <c r="F300">
        <v>7.6609999999999996</v>
      </c>
      <c r="G300">
        <v>24.989000000000001</v>
      </c>
      <c r="H300" s="3">
        <v>252388910611</v>
      </c>
      <c r="I300">
        <v>4388</v>
      </c>
      <c r="J300">
        <v>0.2203</v>
      </c>
      <c r="K300">
        <v>31.57</v>
      </c>
      <c r="L300">
        <v>20.23</v>
      </c>
      <c r="M300">
        <v>15.57</v>
      </c>
      <c r="N300">
        <v>0</v>
      </c>
      <c r="O300">
        <v>31.57</v>
      </c>
      <c r="P300">
        <v>0.63</v>
      </c>
      <c r="Q300">
        <v>12.11</v>
      </c>
      <c r="R300">
        <v>5.96</v>
      </c>
      <c r="S300" s="1">
        <v>14415.493399999999</v>
      </c>
      <c r="T300" s="1">
        <v>83.37</v>
      </c>
    </row>
    <row r="301" spans="1:20">
      <c r="A301" s="1" t="s">
        <v>41</v>
      </c>
      <c r="B301">
        <v>2015</v>
      </c>
      <c r="C301">
        <v>52.232999999999997</v>
      </c>
      <c r="D301">
        <v>5.0369999999999999</v>
      </c>
      <c r="E301">
        <v>12.563000000000001</v>
      </c>
      <c r="F301">
        <v>9.1029999999999998</v>
      </c>
      <c r="G301">
        <v>25.623000000000001</v>
      </c>
      <c r="H301" s="3">
        <v>256911888409</v>
      </c>
      <c r="I301">
        <v>5428</v>
      </c>
      <c r="J301">
        <v>0.22820000000000001</v>
      </c>
      <c r="K301">
        <v>24.36</v>
      </c>
      <c r="L301">
        <v>26.78</v>
      </c>
      <c r="M301">
        <v>8.66</v>
      </c>
      <c r="N301">
        <v>0</v>
      </c>
      <c r="O301">
        <v>24.36</v>
      </c>
      <c r="P301">
        <v>0.8</v>
      </c>
      <c r="Q301">
        <v>11.6</v>
      </c>
      <c r="R301">
        <v>7.68</v>
      </c>
      <c r="S301" s="1">
        <v>11123.263199999999</v>
      </c>
      <c r="T301" s="1">
        <v>75.5</v>
      </c>
    </row>
    <row r="302" spans="1:20">
      <c r="A302" s="1" t="s">
        <v>41</v>
      </c>
      <c r="B302">
        <v>2016</v>
      </c>
      <c r="C302">
        <v>50.311</v>
      </c>
      <c r="D302">
        <v>4.8630000000000004</v>
      </c>
      <c r="E302">
        <v>10.82</v>
      </c>
      <c r="F302">
        <v>9.6839999999999993</v>
      </c>
      <c r="G302">
        <v>25.591999999999999</v>
      </c>
      <c r="H302" s="3">
        <v>262100101273</v>
      </c>
      <c r="I302">
        <v>4924</v>
      </c>
      <c r="J302">
        <v>0.2324</v>
      </c>
      <c r="K302">
        <v>32.299999999999997</v>
      </c>
      <c r="L302">
        <v>26.75</v>
      </c>
      <c r="M302">
        <v>15.72</v>
      </c>
      <c r="N302">
        <v>0</v>
      </c>
      <c r="O302">
        <v>32.299999999999997</v>
      </c>
      <c r="P302">
        <v>0.87</v>
      </c>
      <c r="Q302">
        <v>12.47</v>
      </c>
      <c r="R302">
        <v>5.35</v>
      </c>
      <c r="S302" s="1">
        <v>14748.825999999999</v>
      </c>
      <c r="T302" s="1">
        <v>91.35</v>
      </c>
    </row>
    <row r="303" spans="1:20">
      <c r="A303" s="1" t="s">
        <v>41</v>
      </c>
      <c r="B303">
        <v>2017</v>
      </c>
      <c r="C303">
        <v>55.164999999999999</v>
      </c>
      <c r="D303">
        <v>5.34</v>
      </c>
      <c r="E303">
        <v>12.394</v>
      </c>
      <c r="F303">
        <v>12.318</v>
      </c>
      <c r="G303">
        <v>25.93</v>
      </c>
      <c r="H303" s="3">
        <v>271290329012</v>
      </c>
      <c r="I303">
        <v>5723.8890000000001</v>
      </c>
      <c r="J303">
        <v>0.22570000000000001</v>
      </c>
      <c r="K303">
        <v>22.58</v>
      </c>
      <c r="L303">
        <v>35.01</v>
      </c>
      <c r="M303">
        <v>5.9</v>
      </c>
      <c r="N303">
        <v>0</v>
      </c>
      <c r="O303">
        <v>22.58</v>
      </c>
      <c r="P303">
        <v>0.99</v>
      </c>
      <c r="Q303">
        <v>12.25</v>
      </c>
      <c r="R303">
        <v>5.83</v>
      </c>
      <c r="S303" s="1">
        <v>10310.479599999999</v>
      </c>
      <c r="T303" s="1">
        <v>80.169999999999987</v>
      </c>
    </row>
    <row r="304" spans="1:20">
      <c r="A304" s="1" t="s">
        <v>41</v>
      </c>
      <c r="B304">
        <v>2018</v>
      </c>
      <c r="C304">
        <v>51.34</v>
      </c>
      <c r="D304">
        <v>4.9720000000000004</v>
      </c>
      <c r="E304">
        <v>10.375999999999999</v>
      </c>
      <c r="F304">
        <v>11.242000000000001</v>
      </c>
      <c r="G304">
        <v>25.501000000000001</v>
      </c>
      <c r="H304" s="3">
        <v>279020275961</v>
      </c>
      <c r="I304">
        <v>4505.5720000000001</v>
      </c>
      <c r="J304">
        <v>0.22694999999999999</v>
      </c>
      <c r="K304">
        <v>29.41</v>
      </c>
      <c r="L304">
        <v>28.94</v>
      </c>
      <c r="M304">
        <v>12.39</v>
      </c>
      <c r="N304">
        <v>0</v>
      </c>
      <c r="O304">
        <v>29.41</v>
      </c>
      <c r="P304">
        <v>1.01</v>
      </c>
      <c r="Q304">
        <v>12.62</v>
      </c>
      <c r="R304">
        <v>15.88</v>
      </c>
      <c r="S304" s="1">
        <v>13429.1942</v>
      </c>
      <c r="T304" s="1">
        <v>87.76</v>
      </c>
    </row>
    <row r="305" spans="1:20">
      <c r="A305" s="1" t="s">
        <v>41</v>
      </c>
      <c r="B305">
        <v>2019</v>
      </c>
      <c r="C305">
        <v>47.582999999999998</v>
      </c>
      <c r="D305">
        <v>4.5999999999999996</v>
      </c>
      <c r="E305">
        <v>5.0259999999999998</v>
      </c>
      <c r="F305">
        <v>12.125</v>
      </c>
      <c r="G305">
        <v>26.18</v>
      </c>
      <c r="H305" s="3">
        <v>286505655767</v>
      </c>
      <c r="I305">
        <v>2584.3719999999998</v>
      </c>
      <c r="J305">
        <v>0.21654999999999999</v>
      </c>
      <c r="K305">
        <v>27.41</v>
      </c>
      <c r="L305">
        <v>24.19</v>
      </c>
      <c r="M305">
        <v>8.82</v>
      </c>
      <c r="N305">
        <v>0</v>
      </c>
      <c r="O305">
        <v>27.41</v>
      </c>
      <c r="P305">
        <v>1.34</v>
      </c>
      <c r="Q305">
        <v>13.67</v>
      </c>
      <c r="R305">
        <v>24.84</v>
      </c>
      <c r="S305" s="1">
        <v>12515.9542</v>
      </c>
      <c r="T305" s="1">
        <v>79.010000000000005</v>
      </c>
    </row>
    <row r="306" spans="1:20">
      <c r="A306" s="1" t="s">
        <v>41</v>
      </c>
      <c r="B306">
        <v>2020</v>
      </c>
      <c r="C306">
        <v>41.738</v>
      </c>
      <c r="D306">
        <v>4.0250000000000004</v>
      </c>
      <c r="E306">
        <v>2.4169999999999998</v>
      </c>
      <c r="F306">
        <v>12.012</v>
      </c>
      <c r="G306">
        <v>23.175000000000001</v>
      </c>
      <c r="H306" s="3">
        <v>262724232089</v>
      </c>
      <c r="I306">
        <v>15.467000000000001</v>
      </c>
      <c r="J306">
        <v>0.21265000000000001</v>
      </c>
      <c r="K306">
        <v>30.11</v>
      </c>
      <c r="L306">
        <v>21.28</v>
      </c>
      <c r="M306">
        <v>12.08</v>
      </c>
      <c r="N306">
        <v>0</v>
      </c>
      <c r="O306">
        <v>30.11</v>
      </c>
      <c r="P306">
        <v>1.72</v>
      </c>
      <c r="Q306">
        <v>12.3</v>
      </c>
      <c r="R306">
        <v>24.75</v>
      </c>
      <c r="S306" s="1">
        <v>13748.8282</v>
      </c>
      <c r="T306" s="1">
        <v>81.5</v>
      </c>
    </row>
    <row r="307" spans="1:20">
      <c r="A307" s="1" t="s">
        <v>41</v>
      </c>
      <c r="B307">
        <v>2021</v>
      </c>
      <c r="C307">
        <v>40.299999999999997</v>
      </c>
      <c r="D307">
        <v>3.8780000000000001</v>
      </c>
      <c r="E307">
        <v>1.038</v>
      </c>
      <c r="F307">
        <v>11.576000000000001</v>
      </c>
      <c r="G307">
        <v>23.780999999999999</v>
      </c>
      <c r="H307" s="3">
        <v>277181288542</v>
      </c>
      <c r="I307">
        <v>12.151</v>
      </c>
      <c r="J307">
        <v>0.21295</v>
      </c>
      <c r="K307">
        <v>31.54</v>
      </c>
      <c r="L307">
        <v>17.68</v>
      </c>
      <c r="M307">
        <v>11.91</v>
      </c>
      <c r="N307">
        <v>0</v>
      </c>
      <c r="O307">
        <v>31.54</v>
      </c>
      <c r="P307">
        <v>2.2400000000000002</v>
      </c>
      <c r="Q307">
        <v>13.21</v>
      </c>
      <c r="R307">
        <v>53.55</v>
      </c>
      <c r="S307" s="1">
        <v>14401.7948</v>
      </c>
      <c r="T307" s="1">
        <v>80.759999999999991</v>
      </c>
    </row>
    <row r="308" spans="1:20">
      <c r="A308" s="1" t="s">
        <v>41</v>
      </c>
      <c r="B308">
        <v>2022</v>
      </c>
      <c r="C308">
        <v>40.722000000000001</v>
      </c>
      <c r="D308">
        <v>3.9089999999999998</v>
      </c>
      <c r="E308">
        <v>0.245</v>
      </c>
      <c r="F308">
        <v>11.356999999999999</v>
      </c>
      <c r="G308">
        <v>24.878</v>
      </c>
      <c r="H308" s="3">
        <v>295712910456</v>
      </c>
      <c r="I308">
        <v>10.004</v>
      </c>
      <c r="J308">
        <v>0.22105000000000002</v>
      </c>
      <c r="K308">
        <v>27.61</v>
      </c>
      <c r="L308">
        <v>18.72</v>
      </c>
      <c r="M308">
        <v>6.54</v>
      </c>
      <c r="N308">
        <v>0</v>
      </c>
      <c r="O308">
        <v>27.61</v>
      </c>
      <c r="P308">
        <v>3.52</v>
      </c>
      <c r="Q308">
        <v>13.25</v>
      </c>
      <c r="R308">
        <v>80.87</v>
      </c>
      <c r="S308" s="1">
        <v>12607.278200000001</v>
      </c>
      <c r="T308" s="1">
        <v>73.94</v>
      </c>
    </row>
    <row r="309" spans="1:20">
      <c r="A309" s="1" t="s">
        <v>41</v>
      </c>
      <c r="B309">
        <v>2023</v>
      </c>
      <c r="C309">
        <v>37.622</v>
      </c>
      <c r="D309">
        <v>3.6070000000000002</v>
      </c>
      <c r="E309">
        <v>0.13300000000000001</v>
      </c>
      <c r="F309">
        <v>8.4220000000000006</v>
      </c>
      <c r="G309">
        <v>25.265000000000001</v>
      </c>
      <c r="H309" s="3">
        <v>295712910456</v>
      </c>
      <c r="I309">
        <v>5.8680000000000003</v>
      </c>
      <c r="J309">
        <v>0.2185</v>
      </c>
      <c r="K309">
        <v>34.36</v>
      </c>
      <c r="L309">
        <v>11.78</v>
      </c>
      <c r="M309">
        <v>12.04</v>
      </c>
      <c r="N309">
        <v>0</v>
      </c>
      <c r="O309">
        <v>34.36</v>
      </c>
      <c r="P309">
        <v>5.16</v>
      </c>
      <c r="Q309">
        <v>13.15</v>
      </c>
      <c r="R309">
        <v>85.3</v>
      </c>
      <c r="S309" s="1">
        <v>15689.4632</v>
      </c>
      <c r="T309" s="1">
        <v>80.5</v>
      </c>
    </row>
    <row r="310" spans="1:20">
      <c r="A310" s="1" t="s">
        <v>42</v>
      </c>
      <c r="B310">
        <v>2010</v>
      </c>
      <c r="C310">
        <v>84.488</v>
      </c>
      <c r="D310">
        <v>4.1349999999999998</v>
      </c>
      <c r="E310">
        <v>29.402999999999999</v>
      </c>
      <c r="F310">
        <v>26.805</v>
      </c>
      <c r="G310">
        <v>23.251999999999999</v>
      </c>
      <c r="H310" s="3">
        <v>335489566640</v>
      </c>
      <c r="I310">
        <v>2041</v>
      </c>
      <c r="J310">
        <v>0.10414999999999999</v>
      </c>
      <c r="K310">
        <v>31.92</v>
      </c>
      <c r="L310">
        <v>28.5</v>
      </c>
      <c r="M310">
        <v>19.88</v>
      </c>
      <c r="N310">
        <v>11.62</v>
      </c>
      <c r="O310">
        <v>20.3</v>
      </c>
      <c r="P310">
        <v>0</v>
      </c>
      <c r="Q310">
        <v>0.31</v>
      </c>
      <c r="R310">
        <v>14.38</v>
      </c>
      <c r="S310" s="1">
        <v>9269.3860000000004</v>
      </c>
      <c r="T310" s="1">
        <v>80.72</v>
      </c>
    </row>
    <row r="311" spans="1:20">
      <c r="A311" s="1" t="s">
        <v>42</v>
      </c>
      <c r="B311">
        <v>2011</v>
      </c>
      <c r="C311">
        <v>92.391000000000005</v>
      </c>
      <c r="D311">
        <v>4.5549999999999997</v>
      </c>
      <c r="E311">
        <v>34.091000000000001</v>
      </c>
      <c r="F311">
        <v>28.943999999999999</v>
      </c>
      <c r="G311">
        <v>24.273</v>
      </c>
      <c r="H311" s="3">
        <v>350086824382</v>
      </c>
      <c r="I311">
        <v>1794</v>
      </c>
      <c r="J311">
        <v>0.10835</v>
      </c>
      <c r="K311">
        <v>28.07</v>
      </c>
      <c r="L311">
        <v>33.729999999999997</v>
      </c>
      <c r="M311">
        <v>14.73</v>
      </c>
      <c r="N311">
        <v>11.75</v>
      </c>
      <c r="O311">
        <v>16.32</v>
      </c>
      <c r="P311">
        <v>0</v>
      </c>
      <c r="Q311">
        <v>1.39</v>
      </c>
      <c r="R311">
        <v>13.07</v>
      </c>
      <c r="S311" s="1">
        <v>7452.0384000000004</v>
      </c>
      <c r="T311" s="1">
        <v>78.12</v>
      </c>
    </row>
    <row r="312" spans="1:20">
      <c r="A312" s="1" t="s">
        <v>42</v>
      </c>
      <c r="B312">
        <v>2012</v>
      </c>
      <c r="C312">
        <v>89.847999999999999</v>
      </c>
      <c r="D312">
        <v>4.4569999999999999</v>
      </c>
      <c r="E312">
        <v>31.523</v>
      </c>
      <c r="F312">
        <v>27.774000000000001</v>
      </c>
      <c r="G312">
        <v>25.510999999999999</v>
      </c>
      <c r="H312" s="3">
        <v>356825919340</v>
      </c>
      <c r="I312">
        <v>2031</v>
      </c>
      <c r="J312">
        <v>0.10625</v>
      </c>
      <c r="K312">
        <v>26.4</v>
      </c>
      <c r="L312">
        <v>32.14</v>
      </c>
      <c r="M312">
        <v>12.07</v>
      </c>
      <c r="N312">
        <v>11.47</v>
      </c>
      <c r="O312">
        <v>14.93</v>
      </c>
      <c r="P312">
        <v>0.01</v>
      </c>
      <c r="Q312">
        <v>2.64</v>
      </c>
      <c r="R312">
        <v>7.33</v>
      </c>
      <c r="S312" s="1">
        <v>6817.3365999999996</v>
      </c>
      <c r="T312" s="1">
        <v>73.47</v>
      </c>
    </row>
    <row r="313" spans="1:20">
      <c r="A313" s="1" t="s">
        <v>42</v>
      </c>
      <c r="B313">
        <v>2013</v>
      </c>
      <c r="C313">
        <v>78.795000000000002</v>
      </c>
      <c r="D313">
        <v>3.927</v>
      </c>
      <c r="E313">
        <v>25.268999999999998</v>
      </c>
      <c r="F313">
        <v>25.248000000000001</v>
      </c>
      <c r="G313">
        <v>23.728000000000002</v>
      </c>
      <c r="H313" s="3">
        <v>357789262640</v>
      </c>
      <c r="I313">
        <v>1820</v>
      </c>
      <c r="J313">
        <v>0.13009999999999999</v>
      </c>
      <c r="K313">
        <v>31.77</v>
      </c>
      <c r="L313">
        <v>26.42</v>
      </c>
      <c r="M313">
        <v>14.96</v>
      </c>
      <c r="N313">
        <v>11.62</v>
      </c>
      <c r="O313">
        <v>20.149999999999999</v>
      </c>
      <c r="P313">
        <v>0.42</v>
      </c>
      <c r="Q313">
        <v>4.5199999999999996</v>
      </c>
      <c r="R313">
        <v>4.45</v>
      </c>
      <c r="S313" s="1">
        <v>9200.893</v>
      </c>
      <c r="T313" s="1">
        <v>78.34</v>
      </c>
    </row>
    <row r="314" spans="1:20">
      <c r="A314" s="1" t="s">
        <v>42</v>
      </c>
      <c r="B314">
        <v>2014</v>
      </c>
      <c r="C314">
        <v>79.334999999999994</v>
      </c>
      <c r="D314">
        <v>3.9729999999999999</v>
      </c>
      <c r="E314">
        <v>25.006</v>
      </c>
      <c r="F314">
        <v>24.428999999999998</v>
      </c>
      <c r="G314">
        <v>24.887</v>
      </c>
      <c r="H314" s="3">
        <v>372532510801</v>
      </c>
      <c r="I314">
        <v>1822</v>
      </c>
      <c r="J314">
        <v>0.12690000000000001</v>
      </c>
      <c r="K314">
        <v>38.799999999999997</v>
      </c>
      <c r="L314">
        <v>26.12</v>
      </c>
      <c r="M314">
        <v>18.8</v>
      </c>
      <c r="N314">
        <v>11.68</v>
      </c>
      <c r="O314">
        <v>27.12</v>
      </c>
      <c r="P314">
        <v>1.62</v>
      </c>
      <c r="Q314">
        <v>6.2</v>
      </c>
      <c r="R314">
        <v>5.96</v>
      </c>
      <c r="S314" s="1">
        <v>12383.5344</v>
      </c>
      <c r="T314" s="1">
        <v>92.04</v>
      </c>
    </row>
    <row r="315" spans="1:20">
      <c r="A315" s="1" t="s">
        <v>42</v>
      </c>
      <c r="B315">
        <v>2015</v>
      </c>
      <c r="C315">
        <v>78.046000000000006</v>
      </c>
      <c r="D315">
        <v>3.9279999999999999</v>
      </c>
      <c r="E315">
        <v>25.128</v>
      </c>
      <c r="F315">
        <v>23.492999999999999</v>
      </c>
      <c r="G315">
        <v>24.146000000000001</v>
      </c>
      <c r="H315" s="3">
        <v>384306463712</v>
      </c>
      <c r="I315">
        <v>1941</v>
      </c>
      <c r="J315">
        <v>0.13109999999999999</v>
      </c>
      <c r="K315">
        <v>37.83</v>
      </c>
      <c r="L315">
        <v>27.83</v>
      </c>
      <c r="M315">
        <v>16.63</v>
      </c>
      <c r="N315">
        <v>11.64</v>
      </c>
      <c r="O315">
        <v>26.19</v>
      </c>
      <c r="P315">
        <v>1.98</v>
      </c>
      <c r="Q315">
        <v>7.06</v>
      </c>
      <c r="R315">
        <v>7.68</v>
      </c>
      <c r="S315" s="1">
        <v>11958.8778</v>
      </c>
      <c r="T315" s="1">
        <v>91.85</v>
      </c>
    </row>
    <row r="316" spans="1:20">
      <c r="A316" s="1" t="s">
        <v>42</v>
      </c>
      <c r="B316">
        <v>2016</v>
      </c>
      <c r="C316">
        <v>76.587000000000003</v>
      </c>
      <c r="D316">
        <v>3.8730000000000002</v>
      </c>
      <c r="E316">
        <v>22.146999999999998</v>
      </c>
      <c r="F316">
        <v>23.303999999999998</v>
      </c>
      <c r="G316">
        <v>25.899000000000001</v>
      </c>
      <c r="H316" s="3">
        <v>395288226514</v>
      </c>
      <c r="I316">
        <v>1819</v>
      </c>
      <c r="J316">
        <v>0.12465000000000001</v>
      </c>
      <c r="K316">
        <v>38.26</v>
      </c>
      <c r="L316">
        <v>25.96</v>
      </c>
      <c r="M316">
        <v>18.03</v>
      </c>
      <c r="N316">
        <v>11.29</v>
      </c>
      <c r="O316">
        <v>26.97</v>
      </c>
      <c r="P316">
        <v>1.82</v>
      </c>
      <c r="Q316">
        <v>6.59</v>
      </c>
      <c r="R316">
        <v>5.35</v>
      </c>
      <c r="S316" s="1">
        <v>12315.0414</v>
      </c>
      <c r="T316" s="1">
        <v>91.19</v>
      </c>
    </row>
    <row r="317" spans="1:20">
      <c r="A317" s="1" t="s">
        <v>42</v>
      </c>
      <c r="B317">
        <v>2017</v>
      </c>
      <c r="C317">
        <v>79.432000000000002</v>
      </c>
      <c r="D317">
        <v>4.0339999999999998</v>
      </c>
      <c r="E317">
        <v>21.774000000000001</v>
      </c>
      <c r="F317">
        <v>24.355</v>
      </c>
      <c r="G317">
        <v>27.908000000000001</v>
      </c>
      <c r="H317" s="3">
        <v>456012361225</v>
      </c>
      <c r="I317">
        <v>1623.972</v>
      </c>
      <c r="J317">
        <v>0.12434999999999999</v>
      </c>
      <c r="K317">
        <v>35.799999999999997</v>
      </c>
      <c r="L317">
        <v>27.74</v>
      </c>
      <c r="M317">
        <v>14.49</v>
      </c>
      <c r="N317">
        <v>11.51</v>
      </c>
      <c r="O317">
        <v>24.29</v>
      </c>
      <c r="P317">
        <v>1.86</v>
      </c>
      <c r="Q317">
        <v>7.41</v>
      </c>
      <c r="R317">
        <v>5.83</v>
      </c>
      <c r="S317" s="1">
        <v>11091.299799999999</v>
      </c>
      <c r="T317" s="1">
        <v>87.829999999999984</v>
      </c>
    </row>
    <row r="318" spans="1:20">
      <c r="A318" s="1" t="s">
        <v>42</v>
      </c>
      <c r="B318">
        <v>2018</v>
      </c>
      <c r="C318">
        <v>79.873999999999995</v>
      </c>
      <c r="D318">
        <v>4.0759999999999996</v>
      </c>
      <c r="E318">
        <v>20.765999999999998</v>
      </c>
      <c r="F318">
        <v>24.966000000000001</v>
      </c>
      <c r="G318">
        <v>28.456</v>
      </c>
      <c r="H318" s="3">
        <v>473122658487</v>
      </c>
      <c r="I318">
        <v>1494.2149999999999</v>
      </c>
      <c r="J318">
        <v>0.13250000000000001</v>
      </c>
      <c r="K318">
        <v>37.57</v>
      </c>
      <c r="L318">
        <v>26.5</v>
      </c>
      <c r="M318">
        <v>17.66</v>
      </c>
      <c r="N318">
        <v>11.38</v>
      </c>
      <c r="O318">
        <v>26.19</v>
      </c>
      <c r="P318">
        <v>1.77</v>
      </c>
      <c r="Q318">
        <v>6.32</v>
      </c>
      <c r="R318">
        <v>15.88</v>
      </c>
      <c r="S318" s="1">
        <v>11958.8778</v>
      </c>
      <c r="T318" s="1">
        <v>90.259999999999991</v>
      </c>
    </row>
    <row r="319" spans="1:20">
      <c r="A319" s="1" t="s">
        <v>42</v>
      </c>
      <c r="B319">
        <v>2019</v>
      </c>
      <c r="C319">
        <v>76.69</v>
      </c>
      <c r="D319">
        <v>3.9329999999999998</v>
      </c>
      <c r="E319">
        <v>18.361999999999998</v>
      </c>
      <c r="F319">
        <v>22.675000000000001</v>
      </c>
      <c r="G319">
        <v>29.780999999999999</v>
      </c>
      <c r="H319" s="3">
        <v>456564507688</v>
      </c>
      <c r="I319">
        <v>1837.0989999999999</v>
      </c>
      <c r="J319">
        <v>0.13895000000000002</v>
      </c>
      <c r="K319">
        <v>35.909999999999997</v>
      </c>
      <c r="L319">
        <v>22.85</v>
      </c>
      <c r="M319">
        <v>15.58</v>
      </c>
      <c r="N319">
        <v>11.28</v>
      </c>
      <c r="O319">
        <v>24.63</v>
      </c>
      <c r="P319">
        <v>1.78</v>
      </c>
      <c r="Q319">
        <v>6.77</v>
      </c>
      <c r="R319">
        <v>24.84</v>
      </c>
      <c r="S319" s="1">
        <v>11246.5506</v>
      </c>
      <c r="T319" s="1">
        <v>83.39</v>
      </c>
    </row>
    <row r="320" spans="1:20">
      <c r="A320" s="1" t="s">
        <v>42</v>
      </c>
      <c r="B320">
        <v>2020</v>
      </c>
      <c r="C320">
        <v>73.945999999999998</v>
      </c>
      <c r="D320">
        <v>3.8130000000000002</v>
      </c>
      <c r="E320">
        <v>14.298</v>
      </c>
      <c r="F320">
        <v>25.009</v>
      </c>
      <c r="G320">
        <v>29.062999999999999</v>
      </c>
      <c r="H320" s="3">
        <v>483499378450</v>
      </c>
      <c r="I320">
        <v>1289.2660000000001</v>
      </c>
      <c r="J320">
        <v>0.1454</v>
      </c>
      <c r="K320">
        <v>36.08</v>
      </c>
      <c r="L320">
        <v>19.13</v>
      </c>
      <c r="M320">
        <v>15.38</v>
      </c>
      <c r="N320">
        <v>11.47</v>
      </c>
      <c r="O320">
        <v>24.61</v>
      </c>
      <c r="P320">
        <v>1.73</v>
      </c>
      <c r="Q320">
        <v>6.95</v>
      </c>
      <c r="R320">
        <v>24.75</v>
      </c>
      <c r="S320" s="1">
        <v>11237.4182</v>
      </c>
      <c r="T320" s="1">
        <v>79.819999999999993</v>
      </c>
    </row>
    <row r="321" spans="1:20">
      <c r="A321" s="1" t="s">
        <v>42</v>
      </c>
      <c r="B321">
        <v>2021</v>
      </c>
      <c r="C321">
        <v>77.501000000000005</v>
      </c>
      <c r="D321">
        <v>4.0259999999999998</v>
      </c>
      <c r="E321">
        <v>15.53</v>
      </c>
      <c r="F321">
        <v>25.271000000000001</v>
      </c>
      <c r="G321">
        <v>30.971</v>
      </c>
      <c r="H321" s="3">
        <v>505119539256</v>
      </c>
      <c r="I321">
        <v>1611.903</v>
      </c>
      <c r="J321">
        <v>0.15689999999999998</v>
      </c>
      <c r="K321">
        <v>37.619999999999997</v>
      </c>
      <c r="L321">
        <v>20.94</v>
      </c>
      <c r="M321">
        <v>17.41</v>
      </c>
      <c r="N321">
        <v>11.28</v>
      </c>
      <c r="O321">
        <v>26.34</v>
      </c>
      <c r="P321">
        <v>1.7</v>
      </c>
      <c r="Q321">
        <v>6.58</v>
      </c>
      <c r="R321">
        <v>53.55</v>
      </c>
      <c r="S321" s="1">
        <v>12027.370800000001</v>
      </c>
      <c r="T321" s="1">
        <v>84.9</v>
      </c>
    </row>
    <row r="322" spans="1:20">
      <c r="A322" s="1" t="s">
        <v>42</v>
      </c>
      <c r="B322">
        <v>2022</v>
      </c>
      <c r="C322">
        <v>73.186000000000007</v>
      </c>
      <c r="D322">
        <v>3.8180000000000001</v>
      </c>
      <c r="E322">
        <v>13.752000000000001</v>
      </c>
      <c r="F322">
        <v>21.611999999999998</v>
      </c>
      <c r="G322">
        <v>32.427999999999997</v>
      </c>
      <c r="H322" s="3">
        <v>504741667296</v>
      </c>
      <c r="I322">
        <v>1247.2809999999999</v>
      </c>
      <c r="J322">
        <v>0.28865000000000002</v>
      </c>
      <c r="K322">
        <v>34.71</v>
      </c>
      <c r="L322">
        <v>20.03</v>
      </c>
      <c r="M322">
        <v>13.98</v>
      </c>
      <c r="N322">
        <v>11.09</v>
      </c>
      <c r="O322">
        <v>23.62</v>
      </c>
      <c r="P322">
        <v>1.99</v>
      </c>
      <c r="Q322">
        <v>7</v>
      </c>
      <c r="R322">
        <v>80.87</v>
      </c>
      <c r="S322" s="1">
        <v>10785.3644</v>
      </c>
      <c r="T322" s="1">
        <v>78.36</v>
      </c>
    </row>
    <row r="323" spans="1:20">
      <c r="A323" s="1" t="s">
        <v>42</v>
      </c>
      <c r="B323">
        <v>2023</v>
      </c>
      <c r="C323">
        <v>67.866</v>
      </c>
      <c r="D323">
        <v>3.55</v>
      </c>
      <c r="E323">
        <v>9.7539999999999996</v>
      </c>
      <c r="F323">
        <v>20.149999999999999</v>
      </c>
      <c r="G323">
        <v>32.81</v>
      </c>
      <c r="H323" s="3">
        <v>504741667296</v>
      </c>
      <c r="I323">
        <v>641.399</v>
      </c>
      <c r="J323">
        <v>0.19009999999999999</v>
      </c>
      <c r="K323">
        <v>39.549999999999997</v>
      </c>
      <c r="L323">
        <v>17.399999999999999</v>
      </c>
      <c r="M323">
        <v>18.14</v>
      </c>
      <c r="N323">
        <v>11.19</v>
      </c>
      <c r="O323">
        <v>28.36</v>
      </c>
      <c r="P323">
        <v>2.23</v>
      </c>
      <c r="Q323">
        <v>7.55</v>
      </c>
      <c r="R323">
        <v>85.3</v>
      </c>
      <c r="S323" s="1">
        <v>12949.743199999999</v>
      </c>
      <c r="T323" s="1">
        <v>85.31</v>
      </c>
    </row>
    <row r="324" spans="1:20">
      <c r="A324" s="1" t="s">
        <v>43</v>
      </c>
      <c r="B324">
        <v>2010</v>
      </c>
      <c r="C324">
        <v>38.463999999999999</v>
      </c>
      <c r="D324">
        <v>7.1340000000000003</v>
      </c>
      <c r="E324">
        <v>15.945</v>
      </c>
      <c r="F324">
        <v>11.259</v>
      </c>
      <c r="G324">
        <v>9.2289999999999992</v>
      </c>
      <c r="H324" s="3">
        <v>118344324253</v>
      </c>
      <c r="I324">
        <v>5064</v>
      </c>
      <c r="J324">
        <v>0.15784999999999999</v>
      </c>
      <c r="K324">
        <v>20.52</v>
      </c>
      <c r="L324">
        <v>6.94</v>
      </c>
      <c r="M324">
        <v>5.26</v>
      </c>
      <c r="N324">
        <v>14.57</v>
      </c>
      <c r="O324">
        <v>5.95</v>
      </c>
      <c r="P324">
        <v>0.02</v>
      </c>
      <c r="Q324">
        <v>0.01</v>
      </c>
      <c r="R324">
        <v>14.38</v>
      </c>
      <c r="S324" s="1">
        <v>2716.8890000000001</v>
      </c>
      <c r="T324" s="1">
        <v>33.410000000000004</v>
      </c>
    </row>
    <row r="325" spans="1:20">
      <c r="A325" s="1" t="s">
        <v>43</v>
      </c>
      <c r="B325">
        <v>2011</v>
      </c>
      <c r="C325">
        <v>38.045000000000002</v>
      </c>
      <c r="D325">
        <v>7.048</v>
      </c>
      <c r="E325">
        <v>16.190999999999999</v>
      </c>
      <c r="F325">
        <v>10.648999999999999</v>
      </c>
      <c r="G325">
        <v>8.75</v>
      </c>
      <c r="H325" s="3">
        <v>120554965758</v>
      </c>
      <c r="I325">
        <v>5063</v>
      </c>
      <c r="J325">
        <v>0.1696</v>
      </c>
      <c r="K325">
        <v>20.41</v>
      </c>
      <c r="L325">
        <v>7.87</v>
      </c>
      <c r="M325">
        <v>3.78</v>
      </c>
      <c r="N325">
        <v>15.41</v>
      </c>
      <c r="O325">
        <v>5</v>
      </c>
      <c r="P325">
        <v>0.4</v>
      </c>
      <c r="Q325">
        <v>0</v>
      </c>
      <c r="R325">
        <v>13.07</v>
      </c>
      <c r="S325" s="1">
        <v>2283.1</v>
      </c>
      <c r="T325" s="1">
        <v>33.28</v>
      </c>
    </row>
    <row r="326" spans="1:20">
      <c r="A326" s="1" t="s">
        <v>43</v>
      </c>
      <c r="B326">
        <v>2012</v>
      </c>
      <c r="C326">
        <v>35.960999999999999</v>
      </c>
      <c r="D326">
        <v>6.6539999999999999</v>
      </c>
      <c r="E326">
        <v>14.461</v>
      </c>
      <c r="F326">
        <v>10.298999999999999</v>
      </c>
      <c r="G326">
        <v>9.0030000000000001</v>
      </c>
      <c r="H326" s="3">
        <v>122144694992</v>
      </c>
      <c r="I326">
        <v>5140</v>
      </c>
      <c r="J326">
        <v>0.1719</v>
      </c>
      <c r="K326">
        <v>20.96</v>
      </c>
      <c r="L326">
        <v>7.34</v>
      </c>
      <c r="M326">
        <v>4.0999999999999996</v>
      </c>
      <c r="N326">
        <v>15.49</v>
      </c>
      <c r="O326">
        <v>5.47</v>
      </c>
      <c r="P326">
        <v>0.42</v>
      </c>
      <c r="Q326">
        <v>0.01</v>
      </c>
      <c r="R326">
        <v>7.33</v>
      </c>
      <c r="S326" s="1">
        <v>2497.7113999999997</v>
      </c>
      <c r="T326" s="1">
        <v>33.770000000000003</v>
      </c>
    </row>
    <row r="327" spans="1:20">
      <c r="A327" s="1" t="s">
        <v>43</v>
      </c>
      <c r="B327">
        <v>2013</v>
      </c>
      <c r="C327">
        <v>35.622</v>
      </c>
      <c r="D327">
        <v>6.5839999999999996</v>
      </c>
      <c r="E327">
        <v>14.153</v>
      </c>
      <c r="F327">
        <v>10.481999999999999</v>
      </c>
      <c r="G327">
        <v>8.8680000000000003</v>
      </c>
      <c r="H327" s="3">
        <v>122917618179</v>
      </c>
      <c r="I327">
        <v>4500</v>
      </c>
      <c r="J327">
        <v>0.16880000000000001</v>
      </c>
      <c r="K327">
        <v>22.08</v>
      </c>
      <c r="L327">
        <v>6.42</v>
      </c>
      <c r="M327">
        <v>4.8499999999999996</v>
      </c>
      <c r="N327">
        <v>15.72</v>
      </c>
      <c r="O327">
        <v>6.36</v>
      </c>
      <c r="P327">
        <v>0.59</v>
      </c>
      <c r="Q327">
        <v>0.01</v>
      </c>
      <c r="R327">
        <v>4.45</v>
      </c>
      <c r="S327" s="1">
        <v>2904.1032</v>
      </c>
      <c r="T327" s="1">
        <v>34.86</v>
      </c>
    </row>
    <row r="328" spans="1:20">
      <c r="A328" s="1" t="s">
        <v>43</v>
      </c>
      <c r="B328">
        <v>2014</v>
      </c>
      <c r="C328">
        <v>33.707999999999998</v>
      </c>
      <c r="D328">
        <v>6.2249999999999996</v>
      </c>
      <c r="E328">
        <v>13.965999999999999</v>
      </c>
      <c r="F328">
        <v>8.7210000000000001</v>
      </c>
      <c r="G328">
        <v>8.7479999999999993</v>
      </c>
      <c r="H328" s="3">
        <v>126232947119</v>
      </c>
      <c r="I328">
        <v>4500</v>
      </c>
      <c r="J328">
        <v>0.1515</v>
      </c>
      <c r="K328">
        <v>21.74</v>
      </c>
      <c r="L328">
        <v>5.39</v>
      </c>
      <c r="M328">
        <v>4.21</v>
      </c>
      <c r="N328">
        <v>15.5</v>
      </c>
      <c r="O328">
        <v>6.24</v>
      </c>
      <c r="P328">
        <v>0.6</v>
      </c>
      <c r="Q328">
        <v>0.01</v>
      </c>
      <c r="R328">
        <v>5.96</v>
      </c>
      <c r="S328" s="1">
        <v>2849.3088000000002</v>
      </c>
      <c r="T328" s="1">
        <v>33.369999999999997</v>
      </c>
    </row>
    <row r="329" spans="1:20">
      <c r="A329" s="1" t="s">
        <v>43</v>
      </c>
      <c r="B329">
        <v>2015</v>
      </c>
      <c r="C329">
        <v>34.527999999999999</v>
      </c>
      <c r="D329">
        <v>6.37</v>
      </c>
      <c r="E329">
        <v>13.797000000000001</v>
      </c>
      <c r="F329">
        <v>8.9570000000000007</v>
      </c>
      <c r="G329">
        <v>9.5280000000000005</v>
      </c>
      <c r="H329" s="3">
        <v>132755573802</v>
      </c>
      <c r="I329">
        <v>4317</v>
      </c>
      <c r="J329">
        <v>0.15115000000000001</v>
      </c>
      <c r="K329">
        <v>21.2</v>
      </c>
      <c r="L329">
        <v>5.42</v>
      </c>
      <c r="M329">
        <v>3.87</v>
      </c>
      <c r="N329">
        <v>15.15</v>
      </c>
      <c r="O329">
        <v>6.05</v>
      </c>
      <c r="P329">
        <v>0.51</v>
      </c>
      <c r="Q329">
        <v>0.01</v>
      </c>
      <c r="R329">
        <v>7.68</v>
      </c>
      <c r="S329" s="1">
        <v>2762.5509999999999</v>
      </c>
      <c r="T329" s="1">
        <v>32.669999999999995</v>
      </c>
    </row>
    <row r="330" spans="1:20">
      <c r="A330" s="1" t="s">
        <v>43</v>
      </c>
      <c r="B330">
        <v>2016</v>
      </c>
      <c r="C330">
        <v>34.978000000000002</v>
      </c>
      <c r="D330">
        <v>6.4450000000000003</v>
      </c>
      <c r="E330">
        <v>13.701000000000001</v>
      </c>
      <c r="F330">
        <v>9.1050000000000004</v>
      </c>
      <c r="G330">
        <v>9.8970000000000002</v>
      </c>
      <c r="H330" s="3">
        <v>135336424966</v>
      </c>
      <c r="I330">
        <v>4244</v>
      </c>
      <c r="J330">
        <v>0.14800000000000002</v>
      </c>
      <c r="K330">
        <v>21.4</v>
      </c>
      <c r="L330">
        <v>5.4</v>
      </c>
      <c r="M330">
        <v>4.3600000000000003</v>
      </c>
      <c r="N330">
        <v>14.77</v>
      </c>
      <c r="O330">
        <v>6.63</v>
      </c>
      <c r="P330">
        <v>0.53</v>
      </c>
      <c r="Q330">
        <v>0.01</v>
      </c>
      <c r="R330">
        <v>5.35</v>
      </c>
      <c r="S330" s="1">
        <v>3027.3906000000002</v>
      </c>
      <c r="T330" s="1">
        <v>33.43</v>
      </c>
    </row>
    <row r="331" spans="1:20">
      <c r="A331" s="1" t="s">
        <v>43</v>
      </c>
      <c r="B331">
        <v>2017</v>
      </c>
      <c r="C331">
        <v>36.183999999999997</v>
      </c>
      <c r="D331">
        <v>6.657</v>
      </c>
      <c r="E331">
        <v>14.157999999999999</v>
      </c>
      <c r="F331">
        <v>9.6419999999999995</v>
      </c>
      <c r="G331">
        <v>10.010999999999999</v>
      </c>
      <c r="H331" s="3">
        <v>139312659832</v>
      </c>
      <c r="I331">
        <v>4665</v>
      </c>
      <c r="J331">
        <v>0.14384999999999998</v>
      </c>
      <c r="K331">
        <v>21.62</v>
      </c>
      <c r="L331">
        <v>5.8</v>
      </c>
      <c r="M331">
        <v>4.32</v>
      </c>
      <c r="N331">
        <v>15.08</v>
      </c>
      <c r="O331">
        <v>6.54</v>
      </c>
      <c r="P331">
        <v>0.51</v>
      </c>
      <c r="Q331">
        <v>0.01</v>
      </c>
      <c r="R331">
        <v>5.83</v>
      </c>
      <c r="S331" s="1">
        <v>2986.2948000000001</v>
      </c>
      <c r="T331" s="1">
        <v>33.96</v>
      </c>
    </row>
    <row r="332" spans="1:20">
      <c r="A332" s="1" t="s">
        <v>43</v>
      </c>
      <c r="B332">
        <v>2018</v>
      </c>
      <c r="C332">
        <v>36.183999999999997</v>
      </c>
      <c r="D332">
        <v>6.6479999999999997</v>
      </c>
      <c r="E332">
        <v>14.095000000000001</v>
      </c>
      <c r="F332">
        <v>9.5809999999999995</v>
      </c>
      <c r="G332">
        <v>10.124000000000001</v>
      </c>
      <c r="H332" s="3">
        <v>144927513498</v>
      </c>
      <c r="I332">
        <v>4890</v>
      </c>
      <c r="J332">
        <v>0.15139999999999998</v>
      </c>
      <c r="K332">
        <v>20.65</v>
      </c>
      <c r="L332">
        <v>6.01</v>
      </c>
      <c r="M332">
        <v>3.59</v>
      </c>
      <c r="N332">
        <v>14.84</v>
      </c>
      <c r="O332">
        <v>5.81</v>
      </c>
      <c r="P332">
        <v>0.57999999999999996</v>
      </c>
      <c r="Q332">
        <v>0.01</v>
      </c>
      <c r="R332">
        <v>15.88</v>
      </c>
      <c r="S332" s="1">
        <v>2652.9621999999999</v>
      </c>
      <c r="T332" s="1">
        <v>32.47</v>
      </c>
    </row>
    <row r="333" spans="1:20">
      <c r="A333" s="1" t="s">
        <v>43</v>
      </c>
      <c r="B333">
        <v>2019</v>
      </c>
      <c r="C333">
        <v>33.853000000000002</v>
      </c>
      <c r="D333">
        <v>6.2110000000000003</v>
      </c>
      <c r="E333">
        <v>11.673999999999999</v>
      </c>
      <c r="F333">
        <v>9.5779999999999994</v>
      </c>
      <c r="G333">
        <v>10.222</v>
      </c>
      <c r="H333" s="3">
        <v>148579167627</v>
      </c>
      <c r="I333">
        <v>4133</v>
      </c>
      <c r="J333">
        <v>0.15810000000000002</v>
      </c>
      <c r="K333">
        <v>21.93</v>
      </c>
      <c r="L333">
        <v>6.28</v>
      </c>
      <c r="M333">
        <v>4.3600000000000003</v>
      </c>
      <c r="N333">
        <v>15.28</v>
      </c>
      <c r="O333">
        <v>6.65</v>
      </c>
      <c r="P333">
        <v>0.59</v>
      </c>
      <c r="Q333">
        <v>0.01</v>
      </c>
      <c r="R333">
        <v>24.84</v>
      </c>
      <c r="S333" s="1">
        <v>3036.5230000000001</v>
      </c>
      <c r="T333" s="1">
        <v>34.86</v>
      </c>
    </row>
    <row r="334" spans="1:20">
      <c r="A334" s="1" t="s">
        <v>43</v>
      </c>
      <c r="B334">
        <v>2020</v>
      </c>
      <c r="C334">
        <v>31.175999999999998</v>
      </c>
      <c r="D334">
        <v>5.7149999999999999</v>
      </c>
      <c r="E334">
        <v>9.8539999999999992</v>
      </c>
      <c r="F334">
        <v>9.4920000000000009</v>
      </c>
      <c r="G334">
        <v>9.5180000000000007</v>
      </c>
      <c r="H334" s="3">
        <v>143565091421</v>
      </c>
      <c r="I334">
        <v>3222</v>
      </c>
      <c r="J334">
        <v>0.17049999999999998</v>
      </c>
      <c r="K334">
        <v>22.29</v>
      </c>
      <c r="L334">
        <v>6.22</v>
      </c>
      <c r="M334">
        <v>4.5199999999999996</v>
      </c>
      <c r="N334">
        <v>15.44</v>
      </c>
      <c r="O334">
        <v>6.85</v>
      </c>
      <c r="P334">
        <v>0.66</v>
      </c>
      <c r="Q334">
        <v>0</v>
      </c>
      <c r="R334">
        <v>24.75</v>
      </c>
      <c r="S334" s="1">
        <v>3127.8469999999998</v>
      </c>
      <c r="T334" s="1">
        <v>35.36</v>
      </c>
    </row>
    <row r="335" spans="1:20">
      <c r="A335" s="1" t="s">
        <v>43</v>
      </c>
      <c r="B335">
        <v>2021</v>
      </c>
      <c r="C335">
        <v>35.250999999999998</v>
      </c>
      <c r="D335">
        <v>6.4770000000000003</v>
      </c>
      <c r="E335">
        <v>12.076000000000001</v>
      </c>
      <c r="F335">
        <v>10.609</v>
      </c>
      <c r="G335">
        <v>10.145</v>
      </c>
      <c r="H335" s="3">
        <v>147892579134</v>
      </c>
      <c r="I335">
        <v>3786</v>
      </c>
      <c r="J335">
        <v>0.1646</v>
      </c>
      <c r="K335">
        <v>22.5</v>
      </c>
      <c r="L335">
        <v>7.2</v>
      </c>
      <c r="M335">
        <v>4.26</v>
      </c>
      <c r="N335">
        <v>15.73</v>
      </c>
      <c r="O335">
        <v>6.77</v>
      </c>
      <c r="P335">
        <v>0.67</v>
      </c>
      <c r="Q335">
        <v>0</v>
      </c>
      <c r="R335">
        <v>53.55</v>
      </c>
      <c r="S335" s="1">
        <v>3091.3173999999999</v>
      </c>
      <c r="T335" s="1">
        <v>36.47</v>
      </c>
    </row>
    <row r="336" spans="1:20">
      <c r="A336" s="1" t="s">
        <v>43</v>
      </c>
      <c r="B336">
        <v>2022</v>
      </c>
      <c r="C336">
        <v>31.588999999999999</v>
      </c>
      <c r="D336">
        <v>5.7720000000000002</v>
      </c>
      <c r="E336">
        <v>9.9260000000000002</v>
      </c>
      <c r="F336">
        <v>8.8859999999999992</v>
      </c>
      <c r="G336">
        <v>10.349</v>
      </c>
      <c r="H336" s="3">
        <v>150360426456</v>
      </c>
      <c r="I336">
        <v>3698</v>
      </c>
      <c r="J336">
        <v>0.184</v>
      </c>
      <c r="K336">
        <v>21.74</v>
      </c>
      <c r="L336">
        <v>4.8</v>
      </c>
      <c r="M336">
        <v>3.68</v>
      </c>
      <c r="N336">
        <v>15.92</v>
      </c>
      <c r="O336">
        <v>5.82</v>
      </c>
      <c r="P336">
        <v>0.65</v>
      </c>
      <c r="Q336">
        <v>0</v>
      </c>
      <c r="R336">
        <v>80.87</v>
      </c>
      <c r="S336" s="1">
        <v>2657.5284000000001</v>
      </c>
      <c r="T336" s="1">
        <v>32.36</v>
      </c>
    </row>
    <row r="337" spans="1:20">
      <c r="A337" s="1" t="s">
        <v>43</v>
      </c>
      <c r="B337">
        <v>2023</v>
      </c>
      <c r="C337">
        <v>30.765999999999998</v>
      </c>
      <c r="D337">
        <v>5.5759999999999996</v>
      </c>
      <c r="E337">
        <v>10.151999999999999</v>
      </c>
      <c r="F337">
        <v>8.4030000000000005</v>
      </c>
      <c r="G337">
        <v>10.119</v>
      </c>
      <c r="H337" s="3">
        <v>150360426456</v>
      </c>
      <c r="I337">
        <v>3423</v>
      </c>
      <c r="J337">
        <v>0.19175</v>
      </c>
      <c r="K337">
        <v>25.04</v>
      </c>
      <c r="L337">
        <v>4.49</v>
      </c>
      <c r="M337">
        <v>4.6900000000000004</v>
      </c>
      <c r="N337">
        <v>18.329999999999998</v>
      </c>
      <c r="O337">
        <v>6.71</v>
      </c>
      <c r="P337">
        <v>0.61</v>
      </c>
      <c r="Q337">
        <v>0</v>
      </c>
      <c r="R337">
        <v>85.3</v>
      </c>
      <c r="S337" s="1">
        <v>3063.9202</v>
      </c>
      <c r="T337" s="1">
        <v>36.24</v>
      </c>
    </row>
    <row r="338" spans="1:20">
      <c r="A338" s="1" t="s">
        <v>44</v>
      </c>
      <c r="B338">
        <v>2010</v>
      </c>
      <c r="C338">
        <v>16.466000000000001</v>
      </c>
      <c r="D338">
        <v>8.0530000000000008</v>
      </c>
      <c r="E338">
        <v>6.2839999999999998</v>
      </c>
      <c r="F338">
        <v>1.8819999999999999</v>
      </c>
      <c r="G338">
        <v>7.6219999999999999</v>
      </c>
      <c r="H338" s="3">
        <v>53649775101</v>
      </c>
      <c r="I338">
        <v>604</v>
      </c>
      <c r="J338">
        <v>0.14135</v>
      </c>
      <c r="K338">
        <v>10.41</v>
      </c>
      <c r="L338">
        <v>5.85</v>
      </c>
      <c r="M338">
        <v>4.5199999999999996</v>
      </c>
      <c r="N338">
        <v>5.66</v>
      </c>
      <c r="O338">
        <v>4.75</v>
      </c>
      <c r="P338">
        <v>0.01</v>
      </c>
      <c r="R338">
        <v>14.38</v>
      </c>
      <c r="S338" s="1">
        <v>2168.9450000000002</v>
      </c>
      <c r="T338" s="1">
        <v>21.009999999999998</v>
      </c>
    </row>
    <row r="339" spans="1:20">
      <c r="A339" s="1" t="s">
        <v>44</v>
      </c>
      <c r="B339">
        <v>2011</v>
      </c>
      <c r="C339">
        <v>16.364000000000001</v>
      </c>
      <c r="D339">
        <v>7.9870000000000001</v>
      </c>
      <c r="E339">
        <v>6.327</v>
      </c>
      <c r="F339">
        <v>1.7509999999999999</v>
      </c>
      <c r="G339">
        <v>7.6539999999999999</v>
      </c>
      <c r="H339" s="3">
        <v>53761447942</v>
      </c>
      <c r="I339">
        <v>558</v>
      </c>
      <c r="J339">
        <v>0.14665</v>
      </c>
      <c r="K339">
        <v>10.1</v>
      </c>
      <c r="L339">
        <v>5.82</v>
      </c>
      <c r="M339">
        <v>3.56</v>
      </c>
      <c r="N339">
        <v>6.22</v>
      </c>
      <c r="O339">
        <v>3.88</v>
      </c>
      <c r="P339">
        <v>7.0000000000000007E-2</v>
      </c>
      <c r="R339">
        <v>13.07</v>
      </c>
      <c r="S339" s="1">
        <v>1771.6856</v>
      </c>
      <c r="T339" s="1">
        <v>19.8</v>
      </c>
    </row>
    <row r="340" spans="1:20">
      <c r="A340" s="1" t="s">
        <v>44</v>
      </c>
      <c r="B340">
        <v>2012</v>
      </c>
      <c r="C340">
        <v>15.765000000000001</v>
      </c>
      <c r="D340">
        <v>7.6779999999999999</v>
      </c>
      <c r="E340">
        <v>5.992</v>
      </c>
      <c r="F340">
        <v>1.6839999999999999</v>
      </c>
      <c r="G340">
        <v>7.4589999999999996</v>
      </c>
      <c r="H340" s="3">
        <v>52342432631</v>
      </c>
      <c r="I340">
        <v>658</v>
      </c>
      <c r="J340">
        <v>0.1542</v>
      </c>
      <c r="K340">
        <v>9.86</v>
      </c>
      <c r="L340">
        <v>5.69</v>
      </c>
      <c r="M340">
        <v>3.9</v>
      </c>
      <c r="N340">
        <v>5.53</v>
      </c>
      <c r="O340">
        <v>4.33</v>
      </c>
      <c r="P340">
        <v>0.16</v>
      </c>
      <c r="R340">
        <v>7.33</v>
      </c>
      <c r="S340" s="1">
        <v>1977.1646000000001</v>
      </c>
      <c r="T340" s="1">
        <v>19.880000000000003</v>
      </c>
    </row>
    <row r="341" spans="1:20">
      <c r="A341" s="1" t="s">
        <v>44</v>
      </c>
      <c r="B341">
        <v>2013</v>
      </c>
      <c r="C341">
        <v>15.137</v>
      </c>
      <c r="D341">
        <v>7.3609999999999998</v>
      </c>
      <c r="E341">
        <v>5.7409999999999997</v>
      </c>
      <c r="F341">
        <v>1.6459999999999999</v>
      </c>
      <c r="G341">
        <v>7.085</v>
      </c>
      <c r="H341" s="3">
        <v>51803647300</v>
      </c>
      <c r="I341">
        <v>586</v>
      </c>
      <c r="J341">
        <v>0.16335</v>
      </c>
      <c r="K341">
        <v>10.41</v>
      </c>
      <c r="L341">
        <v>5.39</v>
      </c>
      <c r="M341">
        <v>4.63</v>
      </c>
      <c r="N341">
        <v>5.3</v>
      </c>
      <c r="O341">
        <v>5.1100000000000003</v>
      </c>
      <c r="P341">
        <v>0.22</v>
      </c>
      <c r="Q341">
        <v>0</v>
      </c>
      <c r="R341">
        <v>4.45</v>
      </c>
      <c r="S341" s="1">
        <v>2333.3282000000004</v>
      </c>
      <c r="T341" s="1">
        <v>20.91</v>
      </c>
    </row>
    <row r="342" spans="1:20">
      <c r="A342" s="1" t="s">
        <v>44</v>
      </c>
      <c r="B342">
        <v>2014</v>
      </c>
      <c r="C342">
        <v>13.568</v>
      </c>
      <c r="D342">
        <v>6.5919999999999996</v>
      </c>
      <c r="E342">
        <v>4.5049999999999999</v>
      </c>
      <c r="F342">
        <v>1.4910000000000001</v>
      </c>
      <c r="G342">
        <v>6.9240000000000004</v>
      </c>
      <c r="H342" s="3">
        <v>53237651266</v>
      </c>
      <c r="I342">
        <v>486</v>
      </c>
      <c r="J342">
        <v>0.16310000000000002</v>
      </c>
      <c r="K342">
        <v>12.97</v>
      </c>
      <c r="L342">
        <v>4.18</v>
      </c>
      <c r="M342">
        <v>6.09</v>
      </c>
      <c r="N342">
        <v>6.37</v>
      </c>
      <c r="O342">
        <v>6.6</v>
      </c>
      <c r="P342">
        <v>0.26</v>
      </c>
      <c r="Q342">
        <v>0</v>
      </c>
      <c r="R342">
        <v>5.96</v>
      </c>
      <c r="S342" s="1">
        <v>3013.692</v>
      </c>
      <c r="T342" s="1">
        <v>23.75</v>
      </c>
    </row>
    <row r="343" spans="1:20">
      <c r="A343" s="1" t="s">
        <v>44</v>
      </c>
      <c r="B343">
        <v>2015</v>
      </c>
      <c r="C343">
        <v>13.659000000000001</v>
      </c>
      <c r="D343">
        <v>6.6310000000000002</v>
      </c>
      <c r="E343">
        <v>4.6150000000000002</v>
      </c>
      <c r="F343">
        <v>1.587</v>
      </c>
      <c r="G343">
        <v>6.8440000000000003</v>
      </c>
      <c r="H343" s="3">
        <v>54414237086</v>
      </c>
      <c r="I343">
        <v>434</v>
      </c>
      <c r="J343">
        <v>0.161</v>
      </c>
      <c r="K343">
        <v>10</v>
      </c>
      <c r="L343">
        <v>4.8</v>
      </c>
      <c r="M343">
        <v>3.81</v>
      </c>
      <c r="N343">
        <v>5.65</v>
      </c>
      <c r="O343">
        <v>4.3499999999999996</v>
      </c>
      <c r="P343">
        <v>0.27</v>
      </c>
      <c r="Q343">
        <v>0.01</v>
      </c>
      <c r="R343">
        <v>7.68</v>
      </c>
      <c r="S343" s="1">
        <v>1986.2969999999998</v>
      </c>
      <c r="T343" s="1">
        <v>19.149999999999999</v>
      </c>
    </row>
    <row r="344" spans="1:20">
      <c r="A344" s="1" t="s">
        <v>44</v>
      </c>
      <c r="B344">
        <v>2016</v>
      </c>
      <c r="C344">
        <v>14.468</v>
      </c>
      <c r="D344">
        <v>7.0190000000000001</v>
      </c>
      <c r="E344">
        <v>4.9640000000000004</v>
      </c>
      <c r="F344">
        <v>1.6890000000000001</v>
      </c>
      <c r="G344">
        <v>7.2160000000000002</v>
      </c>
      <c r="H344" s="3">
        <v>56151179265</v>
      </c>
      <c r="I344">
        <v>413</v>
      </c>
      <c r="J344">
        <v>0.16234999999999999</v>
      </c>
      <c r="K344">
        <v>10.78</v>
      </c>
      <c r="L344">
        <v>5.45</v>
      </c>
      <c r="M344">
        <v>4.5</v>
      </c>
      <c r="N344">
        <v>5.72</v>
      </c>
      <c r="O344">
        <v>5.0599999999999996</v>
      </c>
      <c r="P344">
        <v>0.27</v>
      </c>
      <c r="Q344">
        <v>0.01</v>
      </c>
      <c r="R344">
        <v>5.35</v>
      </c>
      <c r="S344" s="1">
        <v>2310.4971999999998</v>
      </c>
      <c r="T344" s="1">
        <v>21.29</v>
      </c>
    </row>
    <row r="345" spans="1:20">
      <c r="A345" s="1" t="s">
        <v>44</v>
      </c>
      <c r="B345">
        <v>2017</v>
      </c>
      <c r="C345">
        <v>14.637</v>
      </c>
      <c r="D345">
        <v>7.0970000000000004</v>
      </c>
      <c r="E345">
        <v>4.907</v>
      </c>
      <c r="F345">
        <v>1.7689999999999999</v>
      </c>
      <c r="G345">
        <v>7.2839999999999998</v>
      </c>
      <c r="H345" s="3">
        <v>58855036945</v>
      </c>
      <c r="I345">
        <v>413.79300000000001</v>
      </c>
      <c r="J345">
        <v>0.16109999999999999</v>
      </c>
      <c r="K345">
        <v>10.73</v>
      </c>
      <c r="L345">
        <v>5.32</v>
      </c>
      <c r="M345">
        <v>3.87</v>
      </c>
      <c r="N345">
        <v>6.29</v>
      </c>
      <c r="O345">
        <v>4.4400000000000004</v>
      </c>
      <c r="P345">
        <v>0.28000000000000003</v>
      </c>
      <c r="Q345">
        <v>0.01</v>
      </c>
      <c r="R345">
        <v>5.83</v>
      </c>
      <c r="S345" s="1">
        <v>2027.3928000000003</v>
      </c>
      <c r="T345" s="1">
        <v>20.490000000000002</v>
      </c>
    </row>
    <row r="346" spans="1:20">
      <c r="A346" s="1" t="s">
        <v>44</v>
      </c>
      <c r="B346">
        <v>2018</v>
      </c>
      <c r="C346">
        <v>14.563000000000001</v>
      </c>
      <c r="D346">
        <v>7.0369999999999999</v>
      </c>
      <c r="E346">
        <v>4.7919999999999998</v>
      </c>
      <c r="F346">
        <v>1.732</v>
      </c>
      <c r="G346">
        <v>7.3310000000000004</v>
      </c>
      <c r="H346" s="3">
        <v>61476689663</v>
      </c>
      <c r="I346">
        <v>450.738</v>
      </c>
      <c r="J346">
        <v>0.16255</v>
      </c>
      <c r="K346">
        <v>11</v>
      </c>
      <c r="L346">
        <v>5.12</v>
      </c>
      <c r="M346">
        <v>4.7</v>
      </c>
      <c r="N346">
        <v>5.78</v>
      </c>
      <c r="O346">
        <v>5.22</v>
      </c>
      <c r="P346">
        <v>0.25</v>
      </c>
      <c r="Q346">
        <v>0.01</v>
      </c>
      <c r="R346">
        <v>15.88</v>
      </c>
      <c r="S346" s="1">
        <v>2383.5563999999999</v>
      </c>
      <c r="T346" s="1">
        <v>21.34</v>
      </c>
    </row>
    <row r="347" spans="1:20">
      <c r="A347" s="1" t="s">
        <v>44</v>
      </c>
      <c r="B347">
        <v>2019</v>
      </c>
      <c r="C347">
        <v>14.053000000000001</v>
      </c>
      <c r="D347">
        <v>6.7450000000000001</v>
      </c>
      <c r="E347">
        <v>4.53</v>
      </c>
      <c r="F347">
        <v>1.7609999999999999</v>
      </c>
      <c r="G347">
        <v>7.0339999999999998</v>
      </c>
      <c r="H347" s="3">
        <v>63598215879</v>
      </c>
      <c r="I347">
        <v>459.29700000000003</v>
      </c>
      <c r="J347">
        <v>0.16499999999999998</v>
      </c>
      <c r="K347">
        <v>10.86</v>
      </c>
      <c r="L347">
        <v>5.03</v>
      </c>
      <c r="M347">
        <v>4.4800000000000004</v>
      </c>
      <c r="N347">
        <v>5.82</v>
      </c>
      <c r="O347">
        <v>5.04</v>
      </c>
      <c r="P347">
        <v>0.3</v>
      </c>
      <c r="Q347">
        <v>0.01</v>
      </c>
      <c r="R347">
        <v>24.84</v>
      </c>
      <c r="S347" s="1">
        <v>2301.3647999999998</v>
      </c>
      <c r="T347" s="1">
        <v>20.93</v>
      </c>
    </row>
    <row r="348" spans="1:20">
      <c r="A348" s="1" t="s">
        <v>44</v>
      </c>
      <c r="B348">
        <v>2020</v>
      </c>
      <c r="C348">
        <v>12.872999999999999</v>
      </c>
      <c r="D348">
        <v>6.1230000000000002</v>
      </c>
      <c r="E348">
        <v>4.391</v>
      </c>
      <c r="F348">
        <v>1.7629999999999999</v>
      </c>
      <c r="G348">
        <v>5.9960000000000004</v>
      </c>
      <c r="H348" s="3">
        <v>60849951865</v>
      </c>
      <c r="I348">
        <v>387.61700000000002</v>
      </c>
      <c r="J348">
        <v>0.15710000000000002</v>
      </c>
      <c r="K348">
        <v>11.93</v>
      </c>
      <c r="L348">
        <v>4.96</v>
      </c>
      <c r="M348">
        <v>4.93</v>
      </c>
      <c r="N348">
        <v>6.35</v>
      </c>
      <c r="O348">
        <v>5.58</v>
      </c>
      <c r="P348">
        <v>0.37</v>
      </c>
      <c r="Q348">
        <v>0.01</v>
      </c>
      <c r="R348">
        <v>24.75</v>
      </c>
      <c r="S348" s="1">
        <v>2547.9396000000002</v>
      </c>
      <c r="T348" s="1">
        <v>22.47</v>
      </c>
    </row>
    <row r="349" spans="1:20">
      <c r="A349" s="1" t="s">
        <v>44</v>
      </c>
      <c r="B349">
        <v>2021</v>
      </c>
      <c r="C349">
        <v>13.076000000000001</v>
      </c>
      <c r="D349">
        <v>6.1870000000000003</v>
      </c>
      <c r="E349">
        <v>3.99</v>
      </c>
      <c r="F349">
        <v>1.857</v>
      </c>
      <c r="G349">
        <v>6.5149999999999997</v>
      </c>
      <c r="H349" s="3">
        <v>65846342756</v>
      </c>
      <c r="I349">
        <v>205.02199999999999</v>
      </c>
      <c r="J349">
        <v>0.16864999999999999</v>
      </c>
      <c r="K349">
        <v>11.15</v>
      </c>
      <c r="L349">
        <v>4.4400000000000004</v>
      </c>
      <c r="M349">
        <v>4.71</v>
      </c>
      <c r="N349">
        <v>5.71</v>
      </c>
      <c r="O349">
        <v>5.44</v>
      </c>
      <c r="P349">
        <v>0.45</v>
      </c>
      <c r="Q349">
        <v>0.01</v>
      </c>
      <c r="R349">
        <v>53.55</v>
      </c>
      <c r="S349" s="1">
        <v>2484.0128000000004</v>
      </c>
      <c r="T349" s="1">
        <v>21.03</v>
      </c>
    </row>
    <row r="350" spans="1:20">
      <c r="A350" s="1" t="s">
        <v>44</v>
      </c>
      <c r="B350">
        <v>2022</v>
      </c>
      <c r="C350">
        <v>12.728</v>
      </c>
      <c r="D350">
        <v>6.0170000000000003</v>
      </c>
      <c r="E350">
        <v>3.242</v>
      </c>
      <c r="F350">
        <v>1.67</v>
      </c>
      <c r="G350">
        <v>7.117</v>
      </c>
      <c r="H350" s="3">
        <v>69385349463</v>
      </c>
      <c r="I350">
        <v>466.48099999999999</v>
      </c>
      <c r="J350">
        <v>0.1673</v>
      </c>
      <c r="K350">
        <v>9.68</v>
      </c>
      <c r="L350">
        <v>3.68</v>
      </c>
      <c r="M350">
        <v>3.15</v>
      </c>
      <c r="N350">
        <v>5.61</v>
      </c>
      <c r="O350">
        <v>4.07</v>
      </c>
      <c r="P350">
        <v>0.65</v>
      </c>
      <c r="Q350">
        <v>0.01</v>
      </c>
      <c r="R350">
        <v>80.87</v>
      </c>
      <c r="S350" s="1">
        <v>1858.4434000000001</v>
      </c>
      <c r="T350" s="1">
        <v>17.43</v>
      </c>
    </row>
    <row r="351" spans="1:20">
      <c r="A351" s="1" t="s">
        <v>44</v>
      </c>
      <c r="B351">
        <v>2023</v>
      </c>
      <c r="C351">
        <v>12.012</v>
      </c>
      <c r="D351">
        <v>5.67</v>
      </c>
      <c r="E351">
        <v>3.101</v>
      </c>
      <c r="F351">
        <v>1.617</v>
      </c>
      <c r="G351">
        <v>6.6189999999999998</v>
      </c>
      <c r="H351" s="3">
        <v>69385349463</v>
      </c>
      <c r="I351">
        <v>451.54599999999999</v>
      </c>
      <c r="J351">
        <v>0.20150000000000001</v>
      </c>
      <c r="K351">
        <v>11.9</v>
      </c>
      <c r="L351">
        <v>3.65</v>
      </c>
      <c r="M351">
        <v>5.0199999999999996</v>
      </c>
      <c r="N351">
        <v>5.6</v>
      </c>
      <c r="O351">
        <v>6.3</v>
      </c>
      <c r="P351">
        <v>0.98</v>
      </c>
      <c r="Q351">
        <v>0.01</v>
      </c>
      <c r="R351">
        <v>85.3</v>
      </c>
      <c r="S351" s="1">
        <v>2876.7060000000001</v>
      </c>
      <c r="T351" s="1">
        <v>21.85</v>
      </c>
    </row>
    <row r="352" spans="1:20">
      <c r="A352" s="1" t="s">
        <v>45</v>
      </c>
      <c r="B352">
        <v>2010</v>
      </c>
      <c r="C352">
        <v>282.58499999999998</v>
      </c>
      <c r="D352">
        <v>6.0330000000000004</v>
      </c>
      <c r="E352">
        <v>35.997</v>
      </c>
      <c r="F352">
        <v>73.623000000000005</v>
      </c>
      <c r="G352">
        <v>156.33099999999999</v>
      </c>
      <c r="H352" s="3">
        <v>1480376411582</v>
      </c>
      <c r="I352">
        <v>13021</v>
      </c>
      <c r="J352">
        <v>0.17895</v>
      </c>
      <c r="K352">
        <v>159.76</v>
      </c>
      <c r="L352">
        <v>138.04</v>
      </c>
      <c r="M352">
        <v>42.3</v>
      </c>
      <c r="N352">
        <v>61.99</v>
      </c>
      <c r="O352">
        <v>97.77</v>
      </c>
      <c r="P352">
        <v>7.19</v>
      </c>
      <c r="Q352">
        <v>44.27</v>
      </c>
      <c r="R352">
        <v>14.38</v>
      </c>
      <c r="S352" s="1">
        <v>44643.737399999998</v>
      </c>
      <c r="T352" s="1">
        <v>395.56999999999994</v>
      </c>
    </row>
    <row r="353" spans="1:20">
      <c r="A353" s="1" t="s">
        <v>45</v>
      </c>
      <c r="B353">
        <v>2011</v>
      </c>
      <c r="C353">
        <v>283.27499999999998</v>
      </c>
      <c r="D353">
        <v>6.0270000000000001</v>
      </c>
      <c r="E353">
        <v>53.685000000000002</v>
      </c>
      <c r="F353">
        <v>68.024000000000001</v>
      </c>
      <c r="G353">
        <v>146.012</v>
      </c>
      <c r="H353" s="3">
        <v>1477187548437</v>
      </c>
      <c r="I353">
        <v>16333</v>
      </c>
      <c r="J353">
        <v>0.20345000000000002</v>
      </c>
      <c r="K353">
        <v>145.25</v>
      </c>
      <c r="L353">
        <v>146.29</v>
      </c>
      <c r="M353">
        <v>30.6</v>
      </c>
      <c r="N353">
        <v>57.72</v>
      </c>
      <c r="O353">
        <v>87.53</v>
      </c>
      <c r="P353">
        <v>9.4</v>
      </c>
      <c r="Q353">
        <v>42.92</v>
      </c>
      <c r="R353">
        <v>13.07</v>
      </c>
      <c r="S353" s="1">
        <v>39967.948600000003</v>
      </c>
      <c r="T353" s="1">
        <v>379.06999999999994</v>
      </c>
    </row>
    <row r="354" spans="1:20">
      <c r="A354" s="1" t="s">
        <v>45</v>
      </c>
      <c r="B354">
        <v>2012</v>
      </c>
      <c r="C354">
        <v>277.43200000000002</v>
      </c>
      <c r="D354">
        <v>5.9009999999999998</v>
      </c>
      <c r="E354">
        <v>62.625999999999998</v>
      </c>
      <c r="F354">
        <v>65.076999999999998</v>
      </c>
      <c r="G354">
        <v>134.672</v>
      </c>
      <c r="H354" s="3">
        <v>1433478645419</v>
      </c>
      <c r="I354">
        <v>22582</v>
      </c>
      <c r="J354">
        <v>0.22325</v>
      </c>
      <c r="K354">
        <v>148.44</v>
      </c>
      <c r="L354">
        <v>145.51</v>
      </c>
      <c r="M354">
        <v>20.55</v>
      </c>
      <c r="N354">
        <v>61.47</v>
      </c>
      <c r="O354">
        <v>86.97</v>
      </c>
      <c r="P354">
        <v>11.97</v>
      </c>
      <c r="Q354">
        <v>49.47</v>
      </c>
      <c r="R354">
        <v>7.33</v>
      </c>
      <c r="S354" s="1">
        <v>39712.241399999999</v>
      </c>
      <c r="T354" s="1">
        <v>380.91999999999996</v>
      </c>
    </row>
    <row r="355" spans="1:20">
      <c r="A355" s="1" t="s">
        <v>45</v>
      </c>
      <c r="B355">
        <v>2013</v>
      </c>
      <c r="C355">
        <v>252.10900000000001</v>
      </c>
      <c r="D355">
        <v>5.38</v>
      </c>
      <c r="E355">
        <v>48.723999999999997</v>
      </c>
      <c r="F355">
        <v>59.055</v>
      </c>
      <c r="G355">
        <v>129.976</v>
      </c>
      <c r="H355" s="3">
        <v>1413362053623</v>
      </c>
      <c r="I355">
        <v>13852</v>
      </c>
      <c r="J355">
        <v>0.22505</v>
      </c>
      <c r="K355">
        <v>168.14</v>
      </c>
      <c r="L355">
        <v>113.32</v>
      </c>
      <c r="M355">
        <v>36.869999999999997</v>
      </c>
      <c r="N355">
        <v>56.73</v>
      </c>
      <c r="O355">
        <v>111.41</v>
      </c>
      <c r="P355">
        <v>13.1</v>
      </c>
      <c r="Q355">
        <v>55.64</v>
      </c>
      <c r="R355">
        <v>4.45</v>
      </c>
      <c r="S355" s="1">
        <v>50872.034200000002</v>
      </c>
      <c r="T355" s="1">
        <v>392.87</v>
      </c>
    </row>
    <row r="356" spans="1:20">
      <c r="A356" s="1" t="s">
        <v>45</v>
      </c>
      <c r="B356">
        <v>2014</v>
      </c>
      <c r="C356">
        <v>253.65799999999999</v>
      </c>
      <c r="D356">
        <v>5.4290000000000003</v>
      </c>
      <c r="E356">
        <v>53.621000000000002</v>
      </c>
      <c r="F356">
        <v>54.250999999999998</v>
      </c>
      <c r="G356">
        <v>129.905</v>
      </c>
      <c r="H356" s="3">
        <v>1433089409797</v>
      </c>
      <c r="I356">
        <v>16642</v>
      </c>
      <c r="J356">
        <v>0.2266</v>
      </c>
      <c r="K356">
        <v>167.57</v>
      </c>
      <c r="L356">
        <v>106.87</v>
      </c>
      <c r="M356">
        <v>39.17</v>
      </c>
      <c r="N356">
        <v>57.31</v>
      </c>
      <c r="O356">
        <v>110.26</v>
      </c>
      <c r="P356">
        <v>13.67</v>
      </c>
      <c r="Q356">
        <v>52.01</v>
      </c>
      <c r="R356">
        <v>5.96</v>
      </c>
      <c r="S356" s="1">
        <v>50346.921200000004</v>
      </c>
      <c r="T356" s="1">
        <v>384.7</v>
      </c>
    </row>
    <row r="357" spans="1:20">
      <c r="A357" s="1" t="s">
        <v>45</v>
      </c>
      <c r="B357">
        <v>2015</v>
      </c>
      <c r="C357">
        <v>270.24799999999999</v>
      </c>
      <c r="D357">
        <v>5.7889999999999997</v>
      </c>
      <c r="E357">
        <v>61.246000000000002</v>
      </c>
      <c r="F357">
        <v>56.603000000000002</v>
      </c>
      <c r="G357">
        <v>136.36500000000001</v>
      </c>
      <c r="H357" s="3">
        <v>1488098863146</v>
      </c>
      <c r="I357">
        <v>19072</v>
      </c>
      <c r="J357">
        <v>0.23394999999999999</v>
      </c>
      <c r="K357">
        <v>154.28</v>
      </c>
      <c r="L357">
        <v>122.89</v>
      </c>
      <c r="M357">
        <v>28.14</v>
      </c>
      <c r="N357">
        <v>57.2</v>
      </c>
      <c r="O357">
        <v>97.08</v>
      </c>
      <c r="P357">
        <v>13.86</v>
      </c>
      <c r="Q357">
        <v>49.32</v>
      </c>
      <c r="R357">
        <v>7.68</v>
      </c>
      <c r="S357" s="1">
        <v>44328.669600000001</v>
      </c>
      <c r="T357" s="1">
        <v>374.25</v>
      </c>
    </row>
    <row r="358" spans="1:20">
      <c r="A358" s="1" t="s">
        <v>45</v>
      </c>
      <c r="B358">
        <v>2016</v>
      </c>
      <c r="C358">
        <v>259.55500000000001</v>
      </c>
      <c r="D358">
        <v>5.5540000000000003</v>
      </c>
      <c r="E358">
        <v>45.478000000000002</v>
      </c>
      <c r="F358">
        <v>57.652999999999999</v>
      </c>
      <c r="G358">
        <v>140.30500000000001</v>
      </c>
      <c r="H358" s="3">
        <v>1533303930046</v>
      </c>
      <c r="I358">
        <v>14016</v>
      </c>
      <c r="J358">
        <v>0.22344999999999998</v>
      </c>
      <c r="K358">
        <v>163.26</v>
      </c>
      <c r="L358">
        <v>107.44</v>
      </c>
      <c r="M358">
        <v>36.4</v>
      </c>
      <c r="N358">
        <v>58.63</v>
      </c>
      <c r="O358">
        <v>104.63</v>
      </c>
      <c r="P358">
        <v>13.64</v>
      </c>
      <c r="Q358">
        <v>48.9</v>
      </c>
      <c r="R358">
        <v>5.35</v>
      </c>
      <c r="S358" s="1">
        <v>47776.150600000001</v>
      </c>
      <c r="T358" s="1">
        <v>375.33</v>
      </c>
    </row>
    <row r="359" spans="1:20">
      <c r="A359" s="1" t="s">
        <v>45</v>
      </c>
      <c r="B359">
        <v>2017</v>
      </c>
      <c r="C359">
        <v>273.48399999999998</v>
      </c>
      <c r="D359">
        <v>5.835</v>
      </c>
      <c r="E359">
        <v>53.499000000000002</v>
      </c>
      <c r="F359">
        <v>62.512</v>
      </c>
      <c r="G359">
        <v>141.12299999999999</v>
      </c>
      <c r="H359" s="3">
        <v>1578931492849</v>
      </c>
      <c r="I359">
        <v>19350</v>
      </c>
      <c r="J359">
        <v>0.22365000000000002</v>
      </c>
      <c r="K359">
        <v>145.97</v>
      </c>
      <c r="L359">
        <v>126.41</v>
      </c>
      <c r="M359">
        <v>18.32</v>
      </c>
      <c r="N359">
        <v>58.04</v>
      </c>
      <c r="O359">
        <v>87.93</v>
      </c>
      <c r="P359">
        <v>14.4</v>
      </c>
      <c r="Q359">
        <v>49.13</v>
      </c>
      <c r="R359">
        <v>5.83</v>
      </c>
      <c r="S359" s="1">
        <v>40150.596600000004</v>
      </c>
      <c r="T359" s="1">
        <v>360.31</v>
      </c>
    </row>
    <row r="360" spans="1:20">
      <c r="A360" s="1" t="s">
        <v>45</v>
      </c>
      <c r="B360">
        <v>2018</v>
      </c>
      <c r="C360">
        <v>268.52100000000002</v>
      </c>
      <c r="D360">
        <v>5.702</v>
      </c>
      <c r="E360">
        <v>47.904000000000003</v>
      </c>
      <c r="F360">
        <v>61.825000000000003</v>
      </c>
      <c r="G360">
        <v>142.10599999999999</v>
      </c>
      <c r="H360" s="3">
        <v>1615001473949</v>
      </c>
      <c r="I360">
        <v>16543</v>
      </c>
      <c r="J360">
        <v>0.24299999999999999</v>
      </c>
      <c r="K360">
        <v>159.63999999999999</v>
      </c>
      <c r="L360">
        <v>111.76</v>
      </c>
      <c r="M360">
        <v>34.33</v>
      </c>
      <c r="N360">
        <v>55.77</v>
      </c>
      <c r="O360">
        <v>103.87</v>
      </c>
      <c r="P360">
        <v>12.74</v>
      </c>
      <c r="Q360">
        <v>50.89</v>
      </c>
      <c r="R360">
        <v>15.88</v>
      </c>
      <c r="S360" s="1">
        <v>47429.119400000003</v>
      </c>
      <c r="T360" s="1">
        <v>375.27</v>
      </c>
    </row>
    <row r="361" spans="1:20">
      <c r="A361" s="1" t="s">
        <v>45</v>
      </c>
      <c r="B361">
        <v>2019</v>
      </c>
      <c r="C361">
        <v>250.67400000000001</v>
      </c>
      <c r="D361">
        <v>5.2850000000000001</v>
      </c>
      <c r="E361">
        <v>23.527999999999999</v>
      </c>
      <c r="F361">
        <v>71.16</v>
      </c>
      <c r="G361">
        <v>140.04400000000001</v>
      </c>
      <c r="H361" s="3">
        <v>1647042667976</v>
      </c>
      <c r="I361">
        <v>9427</v>
      </c>
      <c r="J361">
        <v>0.23985000000000001</v>
      </c>
      <c r="K361">
        <v>159.34</v>
      </c>
      <c r="L361">
        <v>111.18</v>
      </c>
      <c r="M361">
        <v>24.65</v>
      </c>
      <c r="N361">
        <v>58.35</v>
      </c>
      <c r="O361">
        <v>100.99</v>
      </c>
      <c r="P361">
        <v>15.1</v>
      </c>
      <c r="Q361">
        <v>55.65</v>
      </c>
      <c r="R361">
        <v>24.84</v>
      </c>
      <c r="S361" s="1">
        <v>46114.053800000002</v>
      </c>
      <c r="T361" s="1">
        <v>371.51</v>
      </c>
    </row>
    <row r="362" spans="1:20">
      <c r="A362" s="1" t="s">
        <v>45</v>
      </c>
      <c r="B362">
        <v>2020</v>
      </c>
      <c r="C362">
        <v>211.76499999999999</v>
      </c>
      <c r="D362">
        <v>4.4409999999999998</v>
      </c>
      <c r="E362">
        <v>14.23</v>
      </c>
      <c r="F362">
        <v>64.230999999999995</v>
      </c>
      <c r="G362">
        <v>118.78</v>
      </c>
      <c r="H362" s="3">
        <v>1460507935923</v>
      </c>
      <c r="I362">
        <v>4856</v>
      </c>
      <c r="J362">
        <v>0.22685</v>
      </c>
      <c r="K362">
        <v>172.09</v>
      </c>
      <c r="L362">
        <v>87.38</v>
      </c>
      <c r="M362">
        <v>30.51</v>
      </c>
      <c r="N362">
        <v>58.3</v>
      </c>
      <c r="O362">
        <v>113.79</v>
      </c>
      <c r="P362">
        <v>20.67</v>
      </c>
      <c r="Q362">
        <v>56.44</v>
      </c>
      <c r="R362">
        <v>24.75</v>
      </c>
      <c r="S362" s="1">
        <v>51958.789800000006</v>
      </c>
      <c r="T362" s="1">
        <v>373.26000000000005</v>
      </c>
    </row>
    <row r="363" spans="1:20">
      <c r="A363" s="1" t="s">
        <v>45</v>
      </c>
      <c r="B363">
        <v>2021</v>
      </c>
      <c r="C363">
        <v>228.80600000000001</v>
      </c>
      <c r="D363">
        <v>4.7930000000000001</v>
      </c>
      <c r="E363">
        <v>16.010999999999999</v>
      </c>
      <c r="F363">
        <v>68.102999999999994</v>
      </c>
      <c r="G363">
        <v>129.714</v>
      </c>
      <c r="H363" s="3">
        <v>1541121952313</v>
      </c>
      <c r="I363">
        <v>6075</v>
      </c>
      <c r="J363">
        <v>0.25695000000000001</v>
      </c>
      <c r="K363">
        <v>182.31</v>
      </c>
      <c r="L363">
        <v>88.44</v>
      </c>
      <c r="M363">
        <v>29.63</v>
      </c>
      <c r="N363">
        <v>56.56</v>
      </c>
      <c r="O363">
        <v>125.75</v>
      </c>
      <c r="P363">
        <v>27.1</v>
      </c>
      <c r="Q363">
        <v>62.06</v>
      </c>
      <c r="R363">
        <v>53.55</v>
      </c>
      <c r="S363" s="1">
        <v>57419.965000000004</v>
      </c>
      <c r="T363" s="1">
        <v>396.5</v>
      </c>
    </row>
    <row r="364" spans="1:20">
      <c r="A364" s="1" t="s">
        <v>45</v>
      </c>
      <c r="B364">
        <v>2022</v>
      </c>
      <c r="C364">
        <v>234.22300000000001</v>
      </c>
      <c r="D364">
        <v>4.8970000000000002</v>
      </c>
      <c r="E364">
        <v>17.702999999999999</v>
      </c>
      <c r="F364">
        <v>67.262</v>
      </c>
      <c r="G364">
        <v>135.029</v>
      </c>
      <c r="H364" s="3">
        <v>1625139888517</v>
      </c>
      <c r="I364">
        <v>10363.48</v>
      </c>
      <c r="J364">
        <v>0.32105</v>
      </c>
      <c r="K364">
        <v>181.5</v>
      </c>
      <c r="L364">
        <v>105.65</v>
      </c>
      <c r="M364">
        <v>17.59</v>
      </c>
      <c r="N364">
        <v>58.59</v>
      </c>
      <c r="O364">
        <v>122.91</v>
      </c>
      <c r="P364">
        <v>35.72</v>
      </c>
      <c r="Q364">
        <v>62.78</v>
      </c>
      <c r="R364">
        <v>80.87</v>
      </c>
      <c r="S364" s="1">
        <v>56123.164199999999</v>
      </c>
      <c r="T364" s="1">
        <v>410.05999999999995</v>
      </c>
    </row>
    <row r="365" spans="1:20">
      <c r="A365" s="1" t="s">
        <v>45</v>
      </c>
      <c r="B365">
        <v>2023</v>
      </c>
      <c r="C365">
        <v>215.46100000000001</v>
      </c>
      <c r="D365">
        <v>4.4969999999999999</v>
      </c>
      <c r="E365">
        <v>12.536</v>
      </c>
      <c r="F365">
        <v>58.168999999999997</v>
      </c>
      <c r="G365">
        <v>131.24600000000001</v>
      </c>
      <c r="H365" s="3">
        <v>1625139888517</v>
      </c>
      <c r="I365">
        <v>6942.5330000000004</v>
      </c>
      <c r="J365">
        <v>0.24004999999999999</v>
      </c>
      <c r="K365">
        <v>200.65</v>
      </c>
      <c r="L365">
        <v>78.459999999999994</v>
      </c>
      <c r="M365">
        <v>25</v>
      </c>
      <c r="N365">
        <v>56.87</v>
      </c>
      <c r="O365">
        <v>143.78</v>
      </c>
      <c r="P365">
        <v>48.59</v>
      </c>
      <c r="Q365">
        <v>64.28</v>
      </c>
      <c r="R365">
        <v>85.3</v>
      </c>
      <c r="S365" s="1">
        <v>65652.823600000003</v>
      </c>
      <c r="T365" s="1">
        <v>422.89</v>
      </c>
    </row>
    <row r="366" spans="1:20">
      <c r="A366" s="1" t="s">
        <v>46</v>
      </c>
      <c r="B366">
        <v>2010</v>
      </c>
      <c r="C366">
        <v>53.029000000000003</v>
      </c>
      <c r="D366">
        <v>5.6539999999999999</v>
      </c>
      <c r="E366">
        <v>10.311</v>
      </c>
      <c r="F366">
        <v>3.4340000000000002</v>
      </c>
      <c r="G366">
        <v>36.433</v>
      </c>
      <c r="H366" s="3">
        <v>399838964466</v>
      </c>
      <c r="I366">
        <v>3532</v>
      </c>
      <c r="J366">
        <v>0.18985000000000002</v>
      </c>
      <c r="K366">
        <v>139.91999999999999</v>
      </c>
      <c r="L366">
        <v>8.5299999999999994</v>
      </c>
      <c r="M366">
        <v>66.400000000000006</v>
      </c>
      <c r="N366">
        <v>57.83</v>
      </c>
      <c r="O366">
        <v>82.09</v>
      </c>
      <c r="P366">
        <v>0.01</v>
      </c>
      <c r="Q366">
        <v>3.49</v>
      </c>
      <c r="R366">
        <v>14.38</v>
      </c>
      <c r="S366" s="1">
        <v>37483.935799999999</v>
      </c>
      <c r="T366" s="1">
        <v>230.54</v>
      </c>
    </row>
    <row r="367" spans="1:20">
      <c r="A367" s="1" t="s">
        <v>46</v>
      </c>
      <c r="B367">
        <v>2011</v>
      </c>
      <c r="C367">
        <v>49.113999999999997</v>
      </c>
      <c r="D367">
        <v>5.1980000000000004</v>
      </c>
      <c r="E367">
        <v>9.4670000000000005</v>
      </c>
      <c r="F367">
        <v>2.7210000000000001</v>
      </c>
      <c r="G367">
        <v>34.027000000000001</v>
      </c>
      <c r="H367" s="3">
        <v>397617949429</v>
      </c>
      <c r="I367">
        <v>3290</v>
      </c>
      <c r="J367">
        <v>0.20679999999999998</v>
      </c>
      <c r="K367">
        <v>144.56</v>
      </c>
      <c r="L367">
        <v>5.72</v>
      </c>
      <c r="M367">
        <v>66.430000000000007</v>
      </c>
      <c r="N367">
        <v>60.47</v>
      </c>
      <c r="O367">
        <v>84.09</v>
      </c>
      <c r="P367">
        <v>0.01</v>
      </c>
      <c r="Q367">
        <v>6.11</v>
      </c>
      <c r="R367">
        <v>13.07</v>
      </c>
      <c r="S367" s="1">
        <v>38397.175800000005</v>
      </c>
      <c r="T367" s="1">
        <v>234.37</v>
      </c>
    </row>
    <row r="368" spans="1:20">
      <c r="A368" s="1" t="s">
        <v>46</v>
      </c>
      <c r="B368">
        <v>2012</v>
      </c>
      <c r="C368">
        <v>46.606999999999999</v>
      </c>
      <c r="D368">
        <v>4.8959999999999999</v>
      </c>
      <c r="E368">
        <v>8.6370000000000005</v>
      </c>
      <c r="F368">
        <v>2.359</v>
      </c>
      <c r="G368">
        <v>32.625999999999998</v>
      </c>
      <c r="H368" s="3">
        <v>395278763366</v>
      </c>
      <c r="I368">
        <v>2373</v>
      </c>
      <c r="J368">
        <v>0.20550000000000002</v>
      </c>
      <c r="K368">
        <v>162.35</v>
      </c>
      <c r="L368">
        <v>4.09</v>
      </c>
      <c r="M368">
        <v>78.930000000000007</v>
      </c>
      <c r="N368">
        <v>64.040000000000006</v>
      </c>
      <c r="O368">
        <v>98.31</v>
      </c>
      <c r="P368">
        <v>0.02</v>
      </c>
      <c r="Q368">
        <v>7.17</v>
      </c>
      <c r="R368">
        <v>7.33</v>
      </c>
      <c r="S368" s="1">
        <v>44890.3122</v>
      </c>
      <c r="T368" s="1">
        <v>264.75</v>
      </c>
    </row>
    <row r="369" spans="1:20">
      <c r="A369" s="1" t="s">
        <v>46</v>
      </c>
      <c r="B369">
        <v>2013</v>
      </c>
      <c r="C369">
        <v>45.106000000000002</v>
      </c>
      <c r="D369">
        <v>4.6980000000000004</v>
      </c>
      <c r="E369">
        <v>8.7360000000000007</v>
      </c>
      <c r="F369">
        <v>2.3620000000000001</v>
      </c>
      <c r="G369">
        <v>31.245000000000001</v>
      </c>
      <c r="H369" s="3">
        <v>399973749048</v>
      </c>
      <c r="I369">
        <v>2638</v>
      </c>
      <c r="J369">
        <v>0.20735000000000001</v>
      </c>
      <c r="K369">
        <v>149.15</v>
      </c>
      <c r="L369">
        <v>3.88</v>
      </c>
      <c r="M369">
        <v>61.36</v>
      </c>
      <c r="N369">
        <v>66.459999999999994</v>
      </c>
      <c r="O369">
        <v>82.69</v>
      </c>
      <c r="P369">
        <v>0.04</v>
      </c>
      <c r="Q369">
        <v>9.84</v>
      </c>
      <c r="R369">
        <v>4.45</v>
      </c>
      <c r="S369" s="1">
        <v>37757.907800000001</v>
      </c>
      <c r="T369" s="1">
        <v>235.72</v>
      </c>
    </row>
    <row r="370" spans="1:20">
      <c r="A370" s="1" t="s">
        <v>46</v>
      </c>
      <c r="B370">
        <v>2014</v>
      </c>
      <c r="C370">
        <v>43.384999999999998</v>
      </c>
      <c r="D370">
        <v>4.4740000000000002</v>
      </c>
      <c r="E370">
        <v>8.2840000000000007</v>
      </c>
      <c r="F370">
        <v>2.0579999999999998</v>
      </c>
      <c r="G370">
        <v>30.292000000000002</v>
      </c>
      <c r="H370" s="3">
        <v>410604225974</v>
      </c>
      <c r="I370">
        <v>2872</v>
      </c>
      <c r="J370">
        <v>0.19170000000000001</v>
      </c>
      <c r="K370">
        <v>150.63</v>
      </c>
      <c r="L370">
        <v>2.93</v>
      </c>
      <c r="M370">
        <v>63.76</v>
      </c>
      <c r="N370">
        <v>64.88</v>
      </c>
      <c r="O370">
        <v>85.75</v>
      </c>
      <c r="P370">
        <v>0.05</v>
      </c>
      <c r="Q370">
        <v>11.24</v>
      </c>
      <c r="R370">
        <v>5.96</v>
      </c>
      <c r="S370" s="1">
        <v>39155.165000000001</v>
      </c>
      <c r="T370" s="1">
        <v>239.31</v>
      </c>
    </row>
    <row r="371" spans="1:20">
      <c r="A371" s="1" t="s">
        <v>46</v>
      </c>
      <c r="B371">
        <v>2015</v>
      </c>
      <c r="C371">
        <v>43.31</v>
      </c>
      <c r="D371">
        <v>4.42</v>
      </c>
      <c r="E371">
        <v>8.016</v>
      </c>
      <c r="F371">
        <v>1.97</v>
      </c>
      <c r="G371">
        <v>30.38</v>
      </c>
      <c r="H371" s="3">
        <v>429037422635</v>
      </c>
      <c r="I371">
        <v>2878</v>
      </c>
      <c r="J371">
        <v>0.18730000000000002</v>
      </c>
      <c r="K371">
        <v>158.85</v>
      </c>
      <c r="L371">
        <v>3.15</v>
      </c>
      <c r="M371">
        <v>75.31</v>
      </c>
      <c r="N371">
        <v>56.35</v>
      </c>
      <c r="O371">
        <v>102.5</v>
      </c>
      <c r="P371">
        <v>0.1</v>
      </c>
      <c r="Q371">
        <v>16.32</v>
      </c>
      <c r="R371">
        <v>7.68</v>
      </c>
      <c r="S371" s="1">
        <v>46803.55</v>
      </c>
      <c r="T371" s="1">
        <v>264.5</v>
      </c>
    </row>
    <row r="372" spans="1:20">
      <c r="A372" s="1" t="s">
        <v>46</v>
      </c>
      <c r="B372">
        <v>2016</v>
      </c>
      <c r="C372">
        <v>43.308</v>
      </c>
      <c r="D372">
        <v>4.3639999999999999</v>
      </c>
      <c r="E372">
        <v>8.0210000000000008</v>
      </c>
      <c r="F372">
        <v>2.2669999999999999</v>
      </c>
      <c r="G372">
        <v>30.236999999999998</v>
      </c>
      <c r="H372" s="3">
        <v>437921057919</v>
      </c>
      <c r="I372">
        <v>3203</v>
      </c>
      <c r="J372">
        <v>0.19385000000000002</v>
      </c>
      <c r="K372">
        <v>152.22999999999999</v>
      </c>
      <c r="L372">
        <v>3.66</v>
      </c>
      <c r="M372">
        <v>62.02</v>
      </c>
      <c r="N372">
        <v>63.1</v>
      </c>
      <c r="O372">
        <v>89.13</v>
      </c>
      <c r="P372">
        <v>0.14000000000000001</v>
      </c>
      <c r="Q372">
        <v>15.48</v>
      </c>
      <c r="R372">
        <v>5.35</v>
      </c>
      <c r="S372" s="1">
        <v>40698.5406</v>
      </c>
      <c r="T372" s="1">
        <v>245.01999999999998</v>
      </c>
    </row>
    <row r="373" spans="1:20">
      <c r="A373" s="1" t="s">
        <v>46</v>
      </c>
      <c r="B373">
        <v>2017</v>
      </c>
      <c r="C373">
        <v>42.354999999999997</v>
      </c>
      <c r="D373">
        <v>4.2110000000000003</v>
      </c>
      <c r="E373">
        <v>8.3070000000000004</v>
      </c>
      <c r="F373">
        <v>1.8160000000000001</v>
      </c>
      <c r="G373">
        <v>29.315999999999999</v>
      </c>
      <c r="H373" s="3">
        <v>449166531542</v>
      </c>
      <c r="I373">
        <v>2827</v>
      </c>
      <c r="J373">
        <v>0.19840000000000002</v>
      </c>
      <c r="K373">
        <v>160.76</v>
      </c>
      <c r="L373">
        <v>3.47</v>
      </c>
      <c r="M373">
        <v>65.14</v>
      </c>
      <c r="N373">
        <v>65.7</v>
      </c>
      <c r="O373">
        <v>95.06</v>
      </c>
      <c r="P373">
        <v>0.23</v>
      </c>
      <c r="Q373">
        <v>17.61</v>
      </c>
      <c r="R373">
        <v>5.83</v>
      </c>
      <c r="S373" s="1">
        <v>43406.297200000001</v>
      </c>
      <c r="T373" s="1">
        <v>259.28999999999996</v>
      </c>
    </row>
    <row r="374" spans="1:20">
      <c r="A374" s="1" t="s">
        <v>46</v>
      </c>
      <c r="B374">
        <v>2018</v>
      </c>
      <c r="C374">
        <v>41.856000000000002</v>
      </c>
      <c r="D374">
        <v>4.1130000000000004</v>
      </c>
      <c r="E374">
        <v>8.0869999999999997</v>
      </c>
      <c r="F374">
        <v>1.889</v>
      </c>
      <c r="G374">
        <v>28.893999999999998</v>
      </c>
      <c r="H374" s="3">
        <v>457925387676</v>
      </c>
      <c r="I374">
        <v>2952</v>
      </c>
      <c r="J374">
        <v>0.19795000000000001</v>
      </c>
      <c r="K374">
        <v>159.69999999999999</v>
      </c>
      <c r="L374">
        <v>3.66</v>
      </c>
      <c r="M374">
        <v>62.21</v>
      </c>
      <c r="N374">
        <v>68.55</v>
      </c>
      <c r="O374">
        <v>91.15</v>
      </c>
      <c r="P374">
        <v>0.41</v>
      </c>
      <c r="Q374">
        <v>16.62</v>
      </c>
      <c r="R374">
        <v>15.88</v>
      </c>
      <c r="S374" s="1">
        <v>41620.913</v>
      </c>
      <c r="T374" s="1">
        <v>254.51</v>
      </c>
    </row>
    <row r="375" spans="1:20">
      <c r="A375" s="1" t="s">
        <v>46</v>
      </c>
      <c r="B375">
        <v>2019</v>
      </c>
      <c r="C375">
        <v>40.771999999999998</v>
      </c>
      <c r="D375">
        <v>3.9670000000000001</v>
      </c>
      <c r="E375">
        <v>8.1080000000000005</v>
      </c>
      <c r="F375">
        <v>1.7769999999999999</v>
      </c>
      <c r="G375">
        <v>28.463999999999999</v>
      </c>
      <c r="H375" s="3">
        <v>467020665386</v>
      </c>
      <c r="I375">
        <v>2824</v>
      </c>
      <c r="J375">
        <v>0.20424999999999999</v>
      </c>
      <c r="K375">
        <v>165.07</v>
      </c>
      <c r="L375">
        <v>3.35</v>
      </c>
      <c r="M375">
        <v>65.37</v>
      </c>
      <c r="N375">
        <v>66.13</v>
      </c>
      <c r="O375">
        <v>98.94</v>
      </c>
      <c r="P375">
        <v>0.68</v>
      </c>
      <c r="Q375">
        <v>19.850000000000001</v>
      </c>
      <c r="R375">
        <v>24.84</v>
      </c>
      <c r="S375" s="1">
        <v>45177.982799999998</v>
      </c>
      <c r="T375" s="1">
        <v>267.36</v>
      </c>
    </row>
    <row r="376" spans="1:20">
      <c r="A376" s="1" t="s">
        <v>46</v>
      </c>
      <c r="B376">
        <v>2020</v>
      </c>
      <c r="C376">
        <v>36.622</v>
      </c>
      <c r="D376">
        <v>3.5369999999999999</v>
      </c>
      <c r="E376">
        <v>6.641</v>
      </c>
      <c r="F376">
        <v>1.446</v>
      </c>
      <c r="G376">
        <v>26.282</v>
      </c>
      <c r="H376" s="3">
        <v>456885314424</v>
      </c>
      <c r="I376">
        <v>2158</v>
      </c>
      <c r="J376">
        <v>0.19655</v>
      </c>
      <c r="K376">
        <v>161.34</v>
      </c>
      <c r="L376">
        <v>2.44</v>
      </c>
      <c r="M376">
        <v>72.39</v>
      </c>
      <c r="N376">
        <v>49.2</v>
      </c>
      <c r="O376">
        <v>112.14</v>
      </c>
      <c r="P376">
        <v>1.05</v>
      </c>
      <c r="Q376">
        <v>27.52</v>
      </c>
      <c r="R376">
        <v>24.75</v>
      </c>
      <c r="S376" s="1">
        <v>51205.366800000003</v>
      </c>
      <c r="T376" s="1">
        <v>275.92</v>
      </c>
    </row>
    <row r="377" spans="1:20">
      <c r="A377" s="1" t="s">
        <v>46</v>
      </c>
      <c r="B377">
        <v>2021</v>
      </c>
      <c r="C377">
        <v>38.567999999999998</v>
      </c>
      <c r="D377">
        <v>3.7029999999999998</v>
      </c>
      <c r="E377">
        <v>6.984</v>
      </c>
      <c r="F377">
        <v>1.9</v>
      </c>
      <c r="G377">
        <v>27.890999999999998</v>
      </c>
      <c r="H377" s="3">
        <v>481492421258</v>
      </c>
      <c r="I377">
        <v>2281</v>
      </c>
      <c r="J377">
        <v>0.2359</v>
      </c>
      <c r="K377">
        <v>168.72</v>
      </c>
      <c r="L377">
        <v>3.06</v>
      </c>
      <c r="M377">
        <v>73.89</v>
      </c>
      <c r="N377">
        <v>52.97</v>
      </c>
      <c r="O377">
        <v>115.75</v>
      </c>
      <c r="P377">
        <v>1.53</v>
      </c>
      <c r="Q377">
        <v>27.25</v>
      </c>
      <c r="R377">
        <v>53.55</v>
      </c>
      <c r="S377" s="1">
        <v>52853.764999999999</v>
      </c>
      <c r="T377" s="1">
        <v>287.52999999999997</v>
      </c>
    </row>
    <row r="378" spans="1:20">
      <c r="A378" s="1" t="s">
        <v>46</v>
      </c>
      <c r="B378">
        <v>2022</v>
      </c>
      <c r="C378">
        <v>36.341999999999999</v>
      </c>
      <c r="D378">
        <v>3.4649999999999999</v>
      </c>
      <c r="E378">
        <v>6.54</v>
      </c>
      <c r="F378">
        <v>1.163</v>
      </c>
      <c r="G378">
        <v>25.626999999999999</v>
      </c>
      <c r="H378" s="3">
        <v>494214521158</v>
      </c>
      <c r="I378">
        <v>2277</v>
      </c>
      <c r="J378">
        <v>0.25090000000000001</v>
      </c>
      <c r="K378">
        <v>170.17</v>
      </c>
      <c r="L378">
        <v>2.88</v>
      </c>
      <c r="M378">
        <v>69.87</v>
      </c>
      <c r="N378">
        <v>51.94</v>
      </c>
      <c r="O378">
        <v>118.23</v>
      </c>
      <c r="P378">
        <v>1.98</v>
      </c>
      <c r="Q378">
        <v>33.25</v>
      </c>
      <c r="R378">
        <v>80.87</v>
      </c>
      <c r="S378" s="1">
        <v>53986.1826</v>
      </c>
      <c r="T378" s="1">
        <v>291.27999999999997</v>
      </c>
    </row>
    <row r="379" spans="1:20">
      <c r="A379" s="1" t="s">
        <v>46</v>
      </c>
      <c r="B379">
        <v>2023</v>
      </c>
      <c r="C379">
        <v>36.709000000000003</v>
      </c>
      <c r="D379">
        <v>3.4790000000000001</v>
      </c>
      <c r="E379">
        <v>6.508</v>
      </c>
      <c r="F379">
        <v>1.3879999999999999</v>
      </c>
      <c r="G379">
        <v>25.949000000000002</v>
      </c>
      <c r="H379" s="3">
        <v>494214521158</v>
      </c>
      <c r="I379">
        <v>2038</v>
      </c>
      <c r="J379">
        <v>0.24214999999999998</v>
      </c>
      <c r="K379">
        <v>163.72</v>
      </c>
      <c r="L379">
        <v>2.33</v>
      </c>
      <c r="M379">
        <v>66.19</v>
      </c>
      <c r="N379">
        <v>48.47</v>
      </c>
      <c r="O379">
        <v>115.25</v>
      </c>
      <c r="P379">
        <v>3.11</v>
      </c>
      <c r="Q379">
        <v>34.25</v>
      </c>
      <c r="R379">
        <v>85.3</v>
      </c>
      <c r="S379" s="1">
        <v>52625.455000000002</v>
      </c>
      <c r="T379" s="1">
        <v>281.3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1DEBB-ECF0-404F-8516-3F2AA45E27FC}">
  <dimension ref="A1:I22"/>
  <sheetViews>
    <sheetView showGridLines="0" zoomScale="72" workbookViewId="0"/>
  </sheetViews>
  <sheetFormatPr baseColWidth="10" defaultRowHeight="16"/>
  <cols>
    <col min="1" max="1" width="61.1640625" customWidth="1"/>
    <col min="2" max="2" width="15" bestFit="1" customWidth="1"/>
    <col min="5" max="5" width="27.6640625" customWidth="1"/>
  </cols>
  <sheetData>
    <row r="1" spans="1:6" ht="16" customHeight="1">
      <c r="A1" s="5" t="s">
        <v>47</v>
      </c>
    </row>
    <row r="2" spans="1:6">
      <c r="A2" s="86" t="s">
        <v>110</v>
      </c>
    </row>
    <row r="3" spans="1:6">
      <c r="A3" t="s">
        <v>48</v>
      </c>
      <c r="B3">
        <f>ROUND(SUMIFS(master_panel_data[elec_gen_fossil_twh], master_panel_data[country_name], "Poland", master_panel_data[year], 2010), 0)</f>
        <v>146</v>
      </c>
      <c r="E3" s="78" t="s">
        <v>108</v>
      </c>
      <c r="F3" s="79">
        <f>$B$13</f>
        <v>31.024999999999999</v>
      </c>
    </row>
    <row r="4" spans="1:6">
      <c r="A4" t="s">
        <v>49</v>
      </c>
      <c r="B4" s="7">
        <v>250</v>
      </c>
      <c r="E4" s="81" t="s">
        <v>109</v>
      </c>
      <c r="F4" s="80">
        <f>($B$3 * (1 - $B$6) * 1000000 * $B$4) / 1000000000</f>
        <v>9.125</v>
      </c>
    </row>
    <row r="5" spans="1:6">
      <c r="A5" t="s">
        <v>50</v>
      </c>
      <c r="B5" s="8">
        <v>0.15</v>
      </c>
    </row>
    <row r="6" spans="1:6">
      <c r="A6" t="s">
        <v>51</v>
      </c>
      <c r="B6" s="8">
        <v>0.75</v>
      </c>
    </row>
    <row r="8" spans="1:6">
      <c r="A8" s="27" t="s">
        <v>52</v>
      </c>
      <c r="B8" s="74">
        <v>0.15</v>
      </c>
    </row>
    <row r="10" spans="1:6">
      <c r="A10" t="s">
        <v>53</v>
      </c>
      <c r="B10">
        <f>B3 * (1 - B8)</f>
        <v>124.1</v>
      </c>
    </row>
    <row r="11" spans="1:6">
      <c r="A11" t="s">
        <v>54</v>
      </c>
      <c r="B11" s="76">
        <f>B10 * 1000000</f>
        <v>124100000</v>
      </c>
    </row>
    <row r="13" spans="1:6">
      <c r="A13" s="75" t="s">
        <v>55</v>
      </c>
      <c r="B13" s="77">
        <f>(B11 * B4) / 1000000000</f>
        <v>31.024999999999999</v>
      </c>
    </row>
    <row r="16" spans="1:6">
      <c r="A16" s="82" t="s">
        <v>106</v>
      </c>
    </row>
    <row r="17" spans="1:9">
      <c r="A17" s="83"/>
    </row>
    <row r="18" spans="1:9" ht="51">
      <c r="A18" s="84" t="s">
        <v>112</v>
      </c>
      <c r="B18" s="4"/>
      <c r="C18" s="4"/>
      <c r="D18" s="4"/>
      <c r="E18" s="4"/>
      <c r="F18" s="4"/>
      <c r="G18" s="4"/>
    </row>
    <row r="19" spans="1:9">
      <c r="A19" s="83"/>
    </row>
    <row r="20" spans="1:9" ht="51">
      <c r="A20" s="84" t="s">
        <v>107</v>
      </c>
      <c r="B20" s="4"/>
      <c r="C20" s="4"/>
      <c r="D20" s="4"/>
      <c r="E20" s="4"/>
      <c r="F20" s="4"/>
    </row>
    <row r="21" spans="1:9">
      <c r="A21" s="83"/>
    </row>
    <row r="22" spans="1:9" ht="51">
      <c r="A22" s="85" t="s">
        <v>111</v>
      </c>
      <c r="B22" s="4"/>
      <c r="C22" s="4"/>
      <c r="D22" s="4"/>
      <c r="E22" s="4"/>
      <c r="F22" s="4"/>
      <c r="G22" s="4"/>
      <c r="H22" s="4"/>
      <c r="I22" s="4"/>
    </row>
  </sheetData>
  <scenarios current="1" sqref="B13">
    <scenario name="Base Case (Poland Actual)" locked="1" count="1" user="Shashank TG">
      <inputCells r="B8" val="0.15"/>
    </scenario>
    <scenario name="Alternative Case (Denmark Rate)" locked="1" count="1" user="Shashank TG" comment="Created by Shashank TG on 6/15/2026_x000a_">
      <inputCells r="B8" val="0.75"/>
    </scenario>
  </scenario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594B-0B39-4844-9A5D-0E24D3671DE4}">
  <sheetPr>
    <outlinePr summaryBelow="0"/>
  </sheetPr>
  <dimension ref="B1:F11"/>
  <sheetViews>
    <sheetView showGridLines="0" workbookViewId="0">
      <selection activeCell="E8" sqref="E8"/>
    </sheetView>
  </sheetViews>
  <sheetFormatPr baseColWidth="10" defaultRowHeight="16" outlineLevelRow="1" outlineLevelCol="1"/>
  <cols>
    <col min="3" max="3" width="6.33203125" bestFit="1" customWidth="1"/>
    <col min="4" max="6" width="25.33203125" bestFit="1" customWidth="1" outlineLevel="1"/>
  </cols>
  <sheetData>
    <row r="1" spans="2:6" ht="17" thickBot="1"/>
    <row r="2" spans="2:6" ht="19">
      <c r="B2" s="13" t="s">
        <v>61</v>
      </c>
      <c r="C2" s="13"/>
      <c r="D2" s="18"/>
      <c r="E2" s="18"/>
      <c r="F2" s="18"/>
    </row>
    <row r="3" spans="2:6" ht="19" collapsed="1">
      <c r="B3" s="12"/>
      <c r="C3" s="12"/>
      <c r="D3" s="19" t="s">
        <v>63</v>
      </c>
      <c r="E3" s="19" t="s">
        <v>58</v>
      </c>
      <c r="F3" s="19" t="s">
        <v>59</v>
      </c>
    </row>
    <row r="4" spans="2:6" ht="24" hidden="1" outlineLevel="1">
      <c r="B4" s="15"/>
      <c r="C4" s="15"/>
      <c r="D4" s="10"/>
      <c r="E4" s="21"/>
      <c r="F4" s="21" t="s">
        <v>60</v>
      </c>
    </row>
    <row r="5" spans="2:6">
      <c r="B5" s="16" t="s">
        <v>62</v>
      </c>
      <c r="C5" s="16"/>
      <c r="D5" s="14"/>
      <c r="E5" s="14"/>
      <c r="F5" s="14"/>
    </row>
    <row r="6" spans="2:6" outlineLevel="1">
      <c r="B6" s="15"/>
      <c r="C6" s="15" t="s">
        <v>56</v>
      </c>
      <c r="D6" s="10">
        <v>0.15</v>
      </c>
      <c r="E6" s="20">
        <v>0.15</v>
      </c>
      <c r="F6" s="20">
        <v>0.75</v>
      </c>
    </row>
    <row r="7" spans="2:6">
      <c r="B7" s="16" t="s">
        <v>64</v>
      </c>
      <c r="C7" s="16"/>
      <c r="D7" s="14"/>
      <c r="E7" s="14"/>
      <c r="F7" s="14"/>
    </row>
    <row r="8" spans="2:6" ht="17" outlineLevel="1" thickBot="1">
      <c r="B8" s="17"/>
      <c r="C8" s="17" t="s">
        <v>57</v>
      </c>
      <c r="D8" s="11">
        <v>31.024999999999999</v>
      </c>
      <c r="E8" s="11">
        <v>31.024999999999999</v>
      </c>
      <c r="F8" s="11">
        <v>9.125</v>
      </c>
    </row>
    <row r="9" spans="2:6">
      <c r="B9" t="s">
        <v>65</v>
      </c>
    </row>
    <row r="10" spans="2:6">
      <c r="B10" t="s">
        <v>66</v>
      </c>
    </row>
    <row r="11" spans="2:6">
      <c r="B11"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86D0F-2A39-4648-8F4B-FF8237A7C165}">
  <dimension ref="A1:E21"/>
  <sheetViews>
    <sheetView showGridLines="0" zoomScale="75" workbookViewId="0"/>
  </sheetViews>
  <sheetFormatPr baseColWidth="10" defaultRowHeight="16"/>
  <cols>
    <col min="1" max="1" width="61.33203125" customWidth="1"/>
    <col min="2" max="2" width="20.83203125" customWidth="1"/>
    <col min="3" max="3" width="18.6640625" customWidth="1"/>
    <col min="4" max="4" width="21.5" customWidth="1"/>
    <col min="5" max="5" width="20.6640625" customWidth="1"/>
    <col min="6" max="6" width="22.83203125" customWidth="1"/>
  </cols>
  <sheetData>
    <row r="1" spans="1:5" ht="21">
      <c r="A1" s="24" t="s">
        <v>68</v>
      </c>
    </row>
    <row r="3" spans="1:5">
      <c r="B3" s="23" t="s">
        <v>69</v>
      </c>
      <c r="D3" s="6"/>
    </row>
    <row r="4" spans="1:5">
      <c r="B4" s="25" t="s">
        <v>70</v>
      </c>
      <c r="C4" s="26">
        <v>0.7</v>
      </c>
    </row>
    <row r="5" spans="1:5">
      <c r="B5" s="25" t="s">
        <v>71</v>
      </c>
      <c r="C5" s="26">
        <v>15</v>
      </c>
    </row>
    <row r="7" spans="1:5" ht="19">
      <c r="A7" s="22" t="s">
        <v>74</v>
      </c>
    </row>
    <row r="8" spans="1:5" ht="34">
      <c r="A8" s="5" t="s">
        <v>80</v>
      </c>
    </row>
    <row r="9" spans="1:5" ht="17">
      <c r="A9" s="30">
        <f>1000000000 / ( (C4 * 3000000 * 100) + (C5 * 0.5 * 3000000 ) )</f>
        <v>4.301075268817204</v>
      </c>
      <c r="B9" s="48">
        <v>0.7</v>
      </c>
      <c r="C9" s="49">
        <v>0.75</v>
      </c>
      <c r="D9" s="49">
        <v>0.8</v>
      </c>
      <c r="E9" s="50">
        <v>0.85</v>
      </c>
    </row>
    <row r="10" spans="1:5">
      <c r="A10" s="51">
        <v>15</v>
      </c>
      <c r="B10" s="39">
        <f t="dataTable" ref="B10:E14" dt2D="1" dtr="1" r1="C4" r2="C5"/>
        <v>4.301075268817204</v>
      </c>
      <c r="C10" s="40">
        <v>4.0404040404040407</v>
      </c>
      <c r="D10" s="40">
        <v>3.8095238095238093</v>
      </c>
      <c r="E10" s="41">
        <v>3.6036036036036037</v>
      </c>
    </row>
    <row r="11" spans="1:5">
      <c r="A11" s="52">
        <v>25</v>
      </c>
      <c r="B11" s="42">
        <v>4.0404040404040407</v>
      </c>
      <c r="C11" s="43">
        <v>3.8095238095238093</v>
      </c>
      <c r="D11" s="43">
        <v>3.6036036036036037</v>
      </c>
      <c r="E11" s="44">
        <v>3.4188034188034186</v>
      </c>
    </row>
    <row r="12" spans="1:5">
      <c r="A12" s="52">
        <v>50</v>
      </c>
      <c r="B12" s="42">
        <v>3.5087719298245612</v>
      </c>
      <c r="C12" s="43">
        <v>3.3333333333333335</v>
      </c>
      <c r="D12" s="43">
        <v>3.1746031746031744</v>
      </c>
      <c r="E12" s="44">
        <v>3.0303030303030303</v>
      </c>
    </row>
    <row r="13" spans="1:5">
      <c r="A13" s="52">
        <v>80</v>
      </c>
      <c r="B13" s="42">
        <v>3.0303030303030303</v>
      </c>
      <c r="C13" s="43">
        <v>2.8985507246376812</v>
      </c>
      <c r="D13" s="43">
        <v>2.7777777777777777</v>
      </c>
      <c r="E13" s="44">
        <v>2.6666666666666665</v>
      </c>
    </row>
    <row r="14" spans="1:5">
      <c r="A14" s="53">
        <v>100</v>
      </c>
      <c r="B14" s="45">
        <v>2.7777777777777777</v>
      </c>
      <c r="C14" s="46">
        <v>2.6666666666666665</v>
      </c>
      <c r="D14" s="46">
        <v>2.5641025641025643</v>
      </c>
      <c r="E14" s="47">
        <v>2.4691358024691357</v>
      </c>
    </row>
    <row r="16" spans="1:5" ht="17" thickBot="1"/>
    <row r="17" spans="1:4" ht="19">
      <c r="A17" s="31" t="s">
        <v>75</v>
      </c>
      <c r="C17" s="28" t="s">
        <v>72</v>
      </c>
      <c r="D17" s="28" t="s">
        <v>73</v>
      </c>
    </row>
    <row r="18" spans="1:4">
      <c r="A18" s="32" t="s">
        <v>76</v>
      </c>
      <c r="C18" s="29">
        <f>MIN(B10:E14)</f>
        <v>2.4691358024691357</v>
      </c>
      <c r="D18" s="29">
        <f>MAX(B10:E14)</f>
        <v>4.301075268817204</v>
      </c>
    </row>
    <row r="19" spans="1:4">
      <c r="A19" s="32" t="s">
        <v>77</v>
      </c>
    </row>
    <row r="20" spans="1:4" ht="34">
      <c r="A20" s="33" t="s">
        <v>79</v>
      </c>
    </row>
    <row r="21" spans="1:4" ht="35" thickBot="1">
      <c r="A21" s="34" t="s">
        <v>78</v>
      </c>
    </row>
  </sheetData>
  <conditionalFormatting sqref="B10:E14">
    <cfRule type="colorScale" priority="1">
      <colorScale>
        <cfvo type="min"/>
        <cfvo type="percentile" val="50"/>
        <cfvo type="max"/>
        <color rgb="FF63BE7B"/>
        <color rgb="FFFCFCFF"/>
        <color rgb="FFF8696B"/>
      </colorScale>
    </cfRule>
    <cfRule type="colorScale" priority="4">
      <colorScale>
        <cfvo type="min"/>
        <cfvo type="max"/>
        <color rgb="FF63BE7B"/>
        <color rgb="FFFFEF9C"/>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5A51-92C5-564A-A07A-D3F73DB201B3}">
  <dimension ref="A1:AC43"/>
  <sheetViews>
    <sheetView showGridLines="0" tabSelected="1" zoomScale="69" workbookViewId="0"/>
  </sheetViews>
  <sheetFormatPr baseColWidth="10" defaultRowHeight="16"/>
  <cols>
    <col min="1" max="1" width="51.6640625" customWidth="1"/>
    <col min="2" max="2" width="18.83203125" customWidth="1"/>
    <col min="3" max="3" width="24.5" customWidth="1"/>
    <col min="4" max="4" width="15.83203125" customWidth="1"/>
    <col min="5" max="5" width="14.5" customWidth="1"/>
    <col min="6" max="6" width="13.1640625" customWidth="1"/>
    <col min="7" max="7" width="13.6640625" customWidth="1"/>
    <col min="8" max="8" width="14.5" customWidth="1"/>
    <col min="9" max="9" width="12.5" customWidth="1"/>
    <col min="10" max="10" width="14.6640625" customWidth="1"/>
    <col min="11" max="11" width="13.1640625" customWidth="1"/>
    <col min="12" max="12" width="13.33203125" customWidth="1"/>
    <col min="13" max="13" width="14.6640625" customWidth="1"/>
    <col min="14" max="14" width="13.6640625" customWidth="1"/>
    <col min="15" max="15" width="12.83203125" customWidth="1"/>
    <col min="16" max="16" width="14" customWidth="1"/>
    <col min="17" max="17" width="12.33203125" customWidth="1"/>
    <col min="18" max="18" width="13.33203125" customWidth="1"/>
    <col min="19" max="19" width="13.6640625" customWidth="1"/>
    <col min="20" max="20" width="13.1640625" customWidth="1"/>
    <col min="21" max="21" width="12.6640625" customWidth="1"/>
    <col min="22" max="22" width="14.1640625" customWidth="1"/>
  </cols>
  <sheetData>
    <row r="1" spans="1:29" ht="21">
      <c r="A1" s="35" t="s">
        <v>81</v>
      </c>
    </row>
    <row r="3" spans="1:29">
      <c r="A3" s="23" t="s">
        <v>82</v>
      </c>
    </row>
    <row r="4" spans="1:29">
      <c r="A4" t="s">
        <v>83</v>
      </c>
      <c r="B4" s="58">
        <v>0.08</v>
      </c>
    </row>
    <row r="5" spans="1:29">
      <c r="A5" t="s">
        <v>84</v>
      </c>
      <c r="B5" s="59">
        <v>80</v>
      </c>
    </row>
    <row r="7" spans="1:29">
      <c r="A7" s="36" t="s">
        <v>85</v>
      </c>
      <c r="B7" s="36" t="s">
        <v>91</v>
      </c>
      <c r="C7" s="36" t="s">
        <v>90</v>
      </c>
    </row>
    <row r="8" spans="1:29" ht="19">
      <c r="A8" s="37" t="s">
        <v>86</v>
      </c>
      <c r="B8" s="55">
        <v>-1000000000</v>
      </c>
      <c r="C8" s="55">
        <v>-400000000</v>
      </c>
    </row>
    <row r="9" spans="1:29" ht="19">
      <c r="A9" s="37" t="s">
        <v>87</v>
      </c>
      <c r="B9" s="55">
        <v>300000000</v>
      </c>
      <c r="C9" s="55">
        <v>300000000</v>
      </c>
    </row>
    <row r="10" spans="1:29" ht="19">
      <c r="A10" s="37" t="s">
        <v>88</v>
      </c>
      <c r="B10" s="38">
        <v>0</v>
      </c>
      <c r="C10" s="55">
        <v>-180000000</v>
      </c>
    </row>
    <row r="11" spans="1:29" ht="19">
      <c r="A11" s="37" t="s">
        <v>89</v>
      </c>
      <c r="B11" s="38">
        <v>0</v>
      </c>
      <c r="C11" s="55">
        <f>-(3000000 * 0.4 * $B$5)</f>
        <v>-96000000</v>
      </c>
    </row>
    <row r="14" spans="1:29" ht="19">
      <c r="A14" s="54" t="s">
        <v>92</v>
      </c>
      <c r="B14" s="62">
        <v>0</v>
      </c>
      <c r="C14" s="62">
        <v>1</v>
      </c>
      <c r="D14" s="62">
        <v>2</v>
      </c>
      <c r="E14" s="62">
        <v>3</v>
      </c>
      <c r="F14" s="62">
        <v>4</v>
      </c>
      <c r="G14" s="62">
        <v>5</v>
      </c>
      <c r="H14" s="62">
        <v>6</v>
      </c>
      <c r="I14" s="62">
        <v>7</v>
      </c>
      <c r="J14" s="62">
        <v>8</v>
      </c>
      <c r="K14" s="62">
        <v>9</v>
      </c>
      <c r="L14" s="62">
        <v>10</v>
      </c>
      <c r="M14" s="62">
        <v>11</v>
      </c>
      <c r="N14" s="62">
        <v>12</v>
      </c>
      <c r="O14" s="62">
        <v>13</v>
      </c>
      <c r="P14" s="62">
        <v>14</v>
      </c>
      <c r="Q14" s="62">
        <v>15</v>
      </c>
      <c r="R14" s="62">
        <v>16</v>
      </c>
      <c r="S14" s="62">
        <v>17</v>
      </c>
      <c r="T14" s="62">
        <v>18</v>
      </c>
      <c r="U14" s="62">
        <v>19</v>
      </c>
      <c r="V14" s="62">
        <v>20</v>
      </c>
      <c r="W14" s="38"/>
      <c r="X14" s="38"/>
      <c r="Y14" s="38"/>
      <c r="Z14" s="38"/>
      <c r="AA14" s="38"/>
      <c r="AB14" s="38"/>
      <c r="AC14" s="38"/>
    </row>
    <row r="15" spans="1:29">
      <c r="A15" t="s">
        <v>93</v>
      </c>
      <c r="B15" s="56">
        <f>$B$8</f>
        <v>-1000000000</v>
      </c>
      <c r="C15" s="56">
        <f>$B$9+$B$10+$B$11</f>
        <v>300000000</v>
      </c>
      <c r="D15" s="56">
        <f t="shared" ref="D15:V15" si="0">$B$9+$B$10+$B$11</f>
        <v>300000000</v>
      </c>
      <c r="E15" s="56">
        <f t="shared" si="0"/>
        <v>300000000</v>
      </c>
      <c r="F15" s="56">
        <f t="shared" si="0"/>
        <v>300000000</v>
      </c>
      <c r="G15" s="56">
        <f t="shared" si="0"/>
        <v>300000000</v>
      </c>
      <c r="H15" s="56">
        <f t="shared" si="0"/>
        <v>300000000</v>
      </c>
      <c r="I15" s="56">
        <f t="shared" si="0"/>
        <v>300000000</v>
      </c>
      <c r="J15" s="56">
        <f t="shared" si="0"/>
        <v>300000000</v>
      </c>
      <c r="K15" s="56">
        <f t="shared" si="0"/>
        <v>300000000</v>
      </c>
      <c r="L15" s="56">
        <f t="shared" si="0"/>
        <v>300000000</v>
      </c>
      <c r="M15" s="56">
        <f t="shared" si="0"/>
        <v>300000000</v>
      </c>
      <c r="N15" s="56">
        <f t="shared" si="0"/>
        <v>300000000</v>
      </c>
      <c r="O15" s="56">
        <f t="shared" si="0"/>
        <v>300000000</v>
      </c>
      <c r="P15" s="56">
        <f t="shared" si="0"/>
        <v>300000000</v>
      </c>
      <c r="Q15" s="56">
        <f t="shared" si="0"/>
        <v>300000000</v>
      </c>
      <c r="R15" s="56">
        <f t="shared" si="0"/>
        <v>300000000</v>
      </c>
      <c r="S15" s="56">
        <f t="shared" si="0"/>
        <v>300000000</v>
      </c>
      <c r="T15" s="56">
        <f t="shared" si="0"/>
        <v>300000000</v>
      </c>
      <c r="U15" s="56">
        <f t="shared" si="0"/>
        <v>300000000</v>
      </c>
      <c r="V15" s="56">
        <f t="shared" si="0"/>
        <v>300000000</v>
      </c>
    </row>
    <row r="16" spans="1:29">
      <c r="A16" t="s">
        <v>94</v>
      </c>
      <c r="B16" s="56">
        <f>$C$8</f>
        <v>-400000000</v>
      </c>
      <c r="C16" s="56">
        <f>$C$9+$C$10+$C$11</f>
        <v>24000000</v>
      </c>
      <c r="D16" s="56">
        <f t="shared" ref="D16:V16" si="1">$C$9+$C$10+$C$11</f>
        <v>24000000</v>
      </c>
      <c r="E16" s="56">
        <f t="shared" si="1"/>
        <v>24000000</v>
      </c>
      <c r="F16" s="56">
        <f t="shared" si="1"/>
        <v>24000000</v>
      </c>
      <c r="G16" s="56">
        <f t="shared" si="1"/>
        <v>24000000</v>
      </c>
      <c r="H16" s="56">
        <f t="shared" si="1"/>
        <v>24000000</v>
      </c>
      <c r="I16" s="56">
        <f t="shared" si="1"/>
        <v>24000000</v>
      </c>
      <c r="J16" s="56">
        <f t="shared" si="1"/>
        <v>24000000</v>
      </c>
      <c r="K16" s="56">
        <f t="shared" si="1"/>
        <v>24000000</v>
      </c>
      <c r="L16" s="56">
        <f t="shared" si="1"/>
        <v>24000000</v>
      </c>
      <c r="M16" s="56">
        <f t="shared" si="1"/>
        <v>24000000</v>
      </c>
      <c r="N16" s="56">
        <f t="shared" si="1"/>
        <v>24000000</v>
      </c>
      <c r="O16" s="56">
        <f t="shared" si="1"/>
        <v>24000000</v>
      </c>
      <c r="P16" s="56">
        <f t="shared" si="1"/>
        <v>24000000</v>
      </c>
      <c r="Q16" s="56">
        <f t="shared" si="1"/>
        <v>24000000</v>
      </c>
      <c r="R16" s="56">
        <f t="shared" si="1"/>
        <v>24000000</v>
      </c>
      <c r="S16" s="56">
        <f t="shared" si="1"/>
        <v>24000000</v>
      </c>
      <c r="T16" s="56">
        <f t="shared" si="1"/>
        <v>24000000</v>
      </c>
      <c r="U16" s="56">
        <f t="shared" si="1"/>
        <v>24000000</v>
      </c>
      <c r="V16" s="56">
        <f t="shared" si="1"/>
        <v>24000000</v>
      </c>
    </row>
    <row r="17" spans="1:22">
      <c r="D17" s="56"/>
      <c r="E17" s="56"/>
      <c r="F17" s="56"/>
      <c r="G17" s="56"/>
      <c r="H17" s="56"/>
      <c r="I17" s="56"/>
      <c r="J17" s="56"/>
      <c r="K17" s="56"/>
      <c r="L17" s="56"/>
      <c r="M17" s="56"/>
      <c r="N17" s="56"/>
      <c r="O17" s="56"/>
      <c r="P17" s="56"/>
      <c r="Q17" s="56"/>
      <c r="R17" s="56"/>
      <c r="S17" s="56"/>
      <c r="T17" s="56"/>
      <c r="U17" s="56"/>
      <c r="V17" s="56"/>
    </row>
    <row r="18" spans="1:22" ht="19">
      <c r="B18" s="57" t="s">
        <v>96</v>
      </c>
      <c r="C18" s="57" t="s">
        <v>97</v>
      </c>
      <c r="D18" s="56"/>
      <c r="E18" s="56"/>
      <c r="F18" s="56"/>
      <c r="G18" s="56"/>
      <c r="H18" s="56"/>
      <c r="I18" s="56"/>
      <c r="J18" s="56"/>
      <c r="K18" s="56"/>
      <c r="L18" s="56"/>
      <c r="M18" s="56"/>
      <c r="N18" s="56"/>
      <c r="O18" s="56"/>
      <c r="P18" s="56"/>
      <c r="Q18" s="56"/>
      <c r="R18" s="56"/>
      <c r="S18" s="56"/>
      <c r="T18" s="56"/>
      <c r="U18" s="56"/>
      <c r="V18" s="56"/>
    </row>
    <row r="19" spans="1:22" ht="19">
      <c r="A19" s="22" t="s">
        <v>95</v>
      </c>
      <c r="B19" s="60">
        <f>NPV($B$4, C15:V15) + B15</f>
        <v>1945444222.234786</v>
      </c>
      <c r="C19" s="61">
        <f>NPV($B$4, C16:V16) + B16</f>
        <v>-164364462.22121719</v>
      </c>
    </row>
    <row r="27" spans="1:22" ht="19">
      <c r="A27" s="22" t="s">
        <v>98</v>
      </c>
      <c r="B27" s="56">
        <f>B15</f>
        <v>-1000000000</v>
      </c>
      <c r="C27" s="56">
        <f>B27+C15</f>
        <v>-700000000</v>
      </c>
      <c r="D27" s="56">
        <f t="shared" ref="D27:V27" si="2">C27+D15</f>
        <v>-400000000</v>
      </c>
      <c r="E27" s="56">
        <f t="shared" si="2"/>
        <v>-100000000</v>
      </c>
      <c r="F27" s="56">
        <f t="shared" si="2"/>
        <v>200000000</v>
      </c>
      <c r="G27" s="56">
        <f t="shared" si="2"/>
        <v>500000000</v>
      </c>
      <c r="H27" s="56">
        <f t="shared" si="2"/>
        <v>800000000</v>
      </c>
      <c r="I27" s="56">
        <f t="shared" si="2"/>
        <v>1100000000</v>
      </c>
      <c r="J27" s="56">
        <f t="shared" si="2"/>
        <v>1400000000</v>
      </c>
      <c r="K27" s="56">
        <f t="shared" si="2"/>
        <v>1700000000</v>
      </c>
      <c r="L27" s="56">
        <f t="shared" si="2"/>
        <v>2000000000</v>
      </c>
      <c r="M27" s="56">
        <f t="shared" si="2"/>
        <v>2300000000</v>
      </c>
      <c r="N27" s="56">
        <f t="shared" si="2"/>
        <v>2600000000</v>
      </c>
      <c r="O27" s="56">
        <f t="shared" si="2"/>
        <v>2900000000</v>
      </c>
      <c r="P27" s="56">
        <f t="shared" si="2"/>
        <v>3200000000</v>
      </c>
      <c r="Q27" s="56">
        <f t="shared" si="2"/>
        <v>3500000000</v>
      </c>
      <c r="R27" s="56">
        <f t="shared" si="2"/>
        <v>3800000000</v>
      </c>
      <c r="S27" s="56">
        <f t="shared" si="2"/>
        <v>4100000000</v>
      </c>
      <c r="T27" s="56">
        <f t="shared" si="2"/>
        <v>4400000000</v>
      </c>
      <c r="U27" s="56">
        <f t="shared" si="2"/>
        <v>4700000000</v>
      </c>
      <c r="V27" s="56">
        <f t="shared" si="2"/>
        <v>5000000000</v>
      </c>
    </row>
    <row r="28" spans="1:22" ht="19">
      <c r="A28" s="22" t="s">
        <v>99</v>
      </c>
      <c r="B28" s="56">
        <f>B16</f>
        <v>-400000000</v>
      </c>
      <c r="C28" s="56">
        <f>B28+C16</f>
        <v>-376000000</v>
      </c>
      <c r="D28" s="56">
        <f t="shared" ref="D28:V28" si="3">C28+D16</f>
        <v>-352000000</v>
      </c>
      <c r="E28" s="56">
        <f t="shared" si="3"/>
        <v>-328000000</v>
      </c>
      <c r="F28" s="56">
        <f t="shared" si="3"/>
        <v>-304000000</v>
      </c>
      <c r="G28" s="56">
        <f t="shared" si="3"/>
        <v>-280000000</v>
      </c>
      <c r="H28" s="56">
        <f t="shared" si="3"/>
        <v>-256000000</v>
      </c>
      <c r="I28" s="56">
        <f t="shared" si="3"/>
        <v>-232000000</v>
      </c>
      <c r="J28" s="56">
        <f t="shared" si="3"/>
        <v>-208000000</v>
      </c>
      <c r="K28" s="56">
        <f t="shared" si="3"/>
        <v>-184000000</v>
      </c>
      <c r="L28" s="56">
        <f t="shared" si="3"/>
        <v>-160000000</v>
      </c>
      <c r="M28" s="56">
        <f t="shared" si="3"/>
        <v>-136000000</v>
      </c>
      <c r="N28" s="56">
        <f t="shared" si="3"/>
        <v>-112000000</v>
      </c>
      <c r="O28" s="56">
        <f t="shared" si="3"/>
        <v>-88000000</v>
      </c>
      <c r="P28" s="56">
        <f t="shared" si="3"/>
        <v>-64000000</v>
      </c>
      <c r="Q28" s="56">
        <f t="shared" si="3"/>
        <v>-40000000</v>
      </c>
      <c r="R28" s="56">
        <f t="shared" si="3"/>
        <v>-16000000</v>
      </c>
      <c r="S28" s="56">
        <f t="shared" si="3"/>
        <v>8000000</v>
      </c>
      <c r="T28" s="56">
        <f t="shared" si="3"/>
        <v>32000000</v>
      </c>
      <c r="U28" s="56">
        <f t="shared" si="3"/>
        <v>56000000</v>
      </c>
      <c r="V28" s="56">
        <f t="shared" si="3"/>
        <v>80000000</v>
      </c>
    </row>
    <row r="33" spans="1:3">
      <c r="A33" s="63" t="s">
        <v>100</v>
      </c>
      <c r="B33" s="64"/>
      <c r="C33" s="65"/>
    </row>
    <row r="34" spans="1:3">
      <c r="A34" s="66"/>
      <c r="B34" s="67"/>
      <c r="C34" s="68"/>
    </row>
    <row r="35" spans="1:3">
      <c r="A35" s="69" t="s">
        <v>101</v>
      </c>
      <c r="B35" s="67"/>
      <c r="C35" s="68"/>
    </row>
    <row r="36" spans="1:3">
      <c r="A36" s="66"/>
      <c r="B36" s="67"/>
      <c r="C36" s="68"/>
    </row>
    <row r="37" spans="1:3">
      <c r="A37" s="69" t="s">
        <v>102</v>
      </c>
      <c r="B37" s="67"/>
      <c r="C37" s="68"/>
    </row>
    <row r="38" spans="1:3">
      <c r="A38" s="66"/>
      <c r="B38" s="67"/>
      <c r="C38" s="68"/>
    </row>
    <row r="39" spans="1:3">
      <c r="A39" s="69" t="s">
        <v>103</v>
      </c>
      <c r="B39" s="67"/>
      <c r="C39" s="68"/>
    </row>
    <row r="40" spans="1:3">
      <c r="A40" s="66"/>
      <c r="B40" s="67"/>
      <c r="C40" s="68"/>
    </row>
    <row r="41" spans="1:3">
      <c r="A41" s="69" t="s">
        <v>104</v>
      </c>
      <c r="B41" s="67"/>
      <c r="C41" s="68"/>
    </row>
    <row r="42" spans="1:3">
      <c r="A42" s="66"/>
      <c r="B42" s="67"/>
      <c r="C42" s="68"/>
    </row>
    <row r="43" spans="1:3">
      <c r="A43" s="70" t="s">
        <v>105</v>
      </c>
      <c r="B43" s="71"/>
      <c r="C43" s="7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00_Executive_Summary</vt:lpstr>
      <vt:lpstr>0_Data_Connection</vt:lpstr>
      <vt:lpstr>1_Scenario_Manager</vt:lpstr>
      <vt:lpstr>Scenario Summary</vt:lpstr>
      <vt:lpstr>2_Sensitivity_Analysis</vt:lpstr>
      <vt:lpstr>3_NPV_Comparison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Shashank TG</dc:creator>
  <cp:lastModifiedBy>Shashank TG</cp:lastModifiedBy>
  <dcterms:created xsi:type="dcterms:W3CDTF">2026-06-15T09:31:37Z</dcterms:created>
  <dcterms:modified xsi:type="dcterms:W3CDTF">2026-06-26T11:51:03Z</dcterms:modified>
</cp:coreProperties>
</file>